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erador\Downloads\"/>
    </mc:Choice>
  </mc:AlternateContent>
  <xr:revisionPtr revIDLastSave="0" documentId="13_ncr:1_{E7396531-E98C-41ED-B12F-58C2CE55F182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Controle" sheetId="12" state="hidden" r:id="rId1"/>
    <sheet name="fluxo caixa dez 2025" sheetId="14" r:id="rId2"/>
    <sheet name="Fluxo de caixa" sheetId="13" state="hidden" r:id="rId3"/>
    <sheet name="fluxo caixa jan 2026" sheetId="15" r:id="rId4"/>
    <sheet name="fluxo caixa fev 2026" sheetId="17" r:id="rId5"/>
    <sheet name="fluxo caixa mar 2026" sheetId="19" r:id="rId6"/>
    <sheet name="fluxo caixa abr 2026 " sheetId="20" r:id="rId7"/>
    <sheet name="fluxo caixa maio 2026 " sheetId="21" r:id="rId8"/>
    <sheet name="Planilha1" sheetId="22" state="hidden" r:id="rId9"/>
    <sheet name="fluxo caixa jan 2026 (2)" sheetId="18" state="hidden" r:id="rId10"/>
  </sheets>
  <definedNames>
    <definedName name="_xlnm._FilterDatabase" localSheetId="0" hidden="1">Controle!$A$1:$V$45</definedName>
    <definedName name="_xlnm._FilterDatabase" localSheetId="6" hidden="1">'fluxo caixa abr 2026 '!$A$3:$T$44</definedName>
    <definedName name="_xlnm._FilterDatabase" localSheetId="4" hidden="1">'fluxo caixa fev 2026'!$A$2:$AN$42</definedName>
    <definedName name="_xlnm._FilterDatabase" localSheetId="3" hidden="1">'fluxo caixa jan 2026'!$A$1:$AH$30</definedName>
    <definedName name="_xlnm._FilterDatabase" localSheetId="9" hidden="1">'fluxo caixa jan 2026 (2)'!$A$1:$AI$30</definedName>
    <definedName name="_xlnm._FilterDatabase" localSheetId="7" hidden="1">'fluxo caixa maio 2026 '!$A$3:$O$43</definedName>
    <definedName name="_xlnm._FilterDatabase" localSheetId="5" hidden="1">'fluxo caixa mar 2026'!$A$3:$AN$46</definedName>
    <definedName name="_xlnm._FilterDatabase" localSheetId="8" hidden="1">Planilha1!$A$1:$B$37</definedName>
    <definedName name="_xlnm.Print_Area" localSheetId="0">Controle!$A$1:$M$50</definedName>
    <definedName name="_xlnm.Print_Area" localSheetId="6">'fluxo caixa abr 2026 '!$A$1:$R$50</definedName>
    <definedName name="_xlnm.Print_Area" localSheetId="1">'fluxo caixa dez 2025'!$A$1:$O$31</definedName>
    <definedName name="_xlnm.Print_Area" localSheetId="4">'fluxo caixa fev 2026'!$A$1:$AF$51</definedName>
    <definedName name="_xlnm.Print_Area" localSheetId="3">'fluxo caixa jan 2026'!$A$1:$AF$48</definedName>
    <definedName name="_xlnm.Print_Area" localSheetId="9">'fluxo caixa jan 2026 (2)'!$A$1:$AG$48</definedName>
    <definedName name="_xlnm.Print_Area" localSheetId="7">'fluxo caixa maio 2026 '!$A$1:$O$47</definedName>
    <definedName name="_xlnm.Print_Area" localSheetId="5">'fluxo caixa mar 2026'!$A$1:$AF$55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2" l="1"/>
  <c r="D10" i="22"/>
  <c r="C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J4" i="21"/>
  <c r="D40" i="21"/>
  <c r="E40" i="21"/>
  <c r="F40" i="21"/>
  <c r="G40" i="21"/>
  <c r="H40" i="21"/>
  <c r="I40" i="21"/>
  <c r="J40" i="21"/>
  <c r="K40" i="21"/>
  <c r="C40" i="21"/>
  <c r="D40" i="20"/>
  <c r="E40" i="20"/>
  <c r="G40" i="20"/>
  <c r="C40" i="20"/>
  <c r="D40" i="19"/>
  <c r="E40" i="19"/>
  <c r="F40" i="19"/>
  <c r="G40" i="19"/>
  <c r="H40" i="19"/>
  <c r="J40" i="19"/>
  <c r="C40" i="19"/>
  <c r="H35" i="19"/>
  <c r="H36" i="19"/>
  <c r="H37" i="19"/>
  <c r="H38" i="19"/>
  <c r="H39" i="19"/>
  <c r="G35" i="19"/>
  <c r="G36" i="19"/>
  <c r="G37" i="19"/>
  <c r="G38" i="19"/>
  <c r="G39" i="19"/>
  <c r="H34" i="20"/>
  <c r="L34" i="21" s="1"/>
  <c r="D40" i="17"/>
  <c r="E40" i="17"/>
  <c r="F40" i="17"/>
  <c r="G40" i="17"/>
  <c r="H40" i="17"/>
  <c r="C40" i="17"/>
  <c r="D40" i="15"/>
  <c r="E40" i="15"/>
  <c r="F40" i="15"/>
  <c r="G40" i="15"/>
  <c r="H40" i="15"/>
  <c r="C40" i="15"/>
  <c r="H30" i="15"/>
  <c r="H31" i="15"/>
  <c r="H32" i="15"/>
  <c r="H33" i="15"/>
  <c r="H34" i="15"/>
  <c r="H35" i="15"/>
  <c r="H36" i="15"/>
  <c r="H37" i="15"/>
  <c r="H38" i="15"/>
  <c r="H39" i="15"/>
  <c r="G30" i="15"/>
  <c r="G31" i="15"/>
  <c r="G32" i="15"/>
  <c r="G33" i="15"/>
  <c r="G34" i="15"/>
  <c r="G35" i="15"/>
  <c r="G36" i="15"/>
  <c r="G37" i="15"/>
  <c r="G38" i="15"/>
  <c r="G39" i="15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32" i="14"/>
  <c r="G33" i="14"/>
  <c r="H33" i="14" s="1"/>
  <c r="G34" i="14"/>
  <c r="G35" i="14"/>
  <c r="G36" i="14"/>
  <c r="G37" i="14"/>
  <c r="G38" i="14"/>
  <c r="G39" i="14"/>
  <c r="G40" i="14"/>
  <c r="F31" i="20"/>
  <c r="O17" i="20"/>
  <c r="Q17" i="20" s="1"/>
  <c r="K17" i="20"/>
  <c r="H32" i="14" l="1"/>
  <c r="H36" i="14"/>
  <c r="H37" i="14"/>
  <c r="H34" i="14"/>
  <c r="H38" i="14"/>
  <c r="H39" i="14"/>
  <c r="H35" i="14"/>
  <c r="H40" i="14"/>
  <c r="F6" i="21" l="1"/>
  <c r="F10" i="21"/>
  <c r="F15" i="21"/>
  <c r="F19" i="21"/>
  <c r="F22" i="21"/>
  <c r="F23" i="21"/>
  <c r="F24" i="21"/>
  <c r="F25" i="21"/>
  <c r="F26" i="21"/>
  <c r="F27" i="21"/>
  <c r="F31" i="21"/>
  <c r="F30" i="21"/>
  <c r="F34" i="21"/>
  <c r="F38" i="21"/>
  <c r="F39" i="21"/>
  <c r="F37" i="21"/>
  <c r="F36" i="21"/>
  <c r="C25" i="21"/>
  <c r="C26" i="21"/>
  <c r="C27" i="21"/>
  <c r="C31" i="21"/>
  <c r="C30" i="21"/>
  <c r="C34" i="21"/>
  <c r="C38" i="21"/>
  <c r="C39" i="21"/>
  <c r="I39" i="12"/>
  <c r="I16" i="12"/>
  <c r="I10" i="12"/>
  <c r="I15" i="12"/>
  <c r="I30" i="12"/>
  <c r="I33" i="12"/>
  <c r="I34" i="12"/>
  <c r="J26" i="21" l="1"/>
  <c r="J25" i="21"/>
  <c r="J27" i="21"/>
  <c r="J30" i="21"/>
  <c r="J31" i="21"/>
  <c r="J39" i="21"/>
  <c r="J38" i="21"/>
  <c r="J34" i="21"/>
  <c r="H13" i="21"/>
  <c r="G13" i="21"/>
  <c r="F13" i="21" l="1"/>
  <c r="D19" i="21"/>
  <c r="H21" i="21"/>
  <c r="G21" i="21"/>
  <c r="F21" i="21" s="1"/>
  <c r="H20" i="21"/>
  <c r="G20" i="21"/>
  <c r="H33" i="21"/>
  <c r="G33" i="21"/>
  <c r="F33" i="21" s="1"/>
  <c r="E33" i="21"/>
  <c r="D33" i="21"/>
  <c r="E37" i="21"/>
  <c r="D37" i="21"/>
  <c r="F20" i="21" l="1"/>
  <c r="C19" i="21"/>
  <c r="J19" i="21" s="1"/>
  <c r="C37" i="21"/>
  <c r="J37" i="21" s="1"/>
  <c r="C33" i="21"/>
  <c r="J33" i="21" s="1"/>
  <c r="H32" i="21"/>
  <c r="H18" i="21"/>
  <c r="G18" i="21"/>
  <c r="F18" i="21" s="1"/>
  <c r="H14" i="21"/>
  <c r="G14" i="21"/>
  <c r="F14" i="21" s="1"/>
  <c r="H4" i="21"/>
  <c r="G4" i="21"/>
  <c r="F4" i="21" s="1"/>
  <c r="H7" i="21"/>
  <c r="G7" i="21"/>
  <c r="G35" i="21"/>
  <c r="H35" i="21"/>
  <c r="G32" i="21"/>
  <c r="H29" i="21"/>
  <c r="G29" i="21"/>
  <c r="F29" i="21" s="1"/>
  <c r="H28" i="21"/>
  <c r="G28" i="21"/>
  <c r="F28" i="21" s="1"/>
  <c r="H16" i="21"/>
  <c r="G16" i="21"/>
  <c r="F16" i="21" s="1"/>
  <c r="H12" i="21"/>
  <c r="G12" i="21"/>
  <c r="H9" i="21"/>
  <c r="G9" i="21"/>
  <c r="G8" i="21"/>
  <c r="H8" i="21"/>
  <c r="H5" i="21"/>
  <c r="G5" i="21"/>
  <c r="F5" i="21" s="1"/>
  <c r="E13" i="21"/>
  <c r="D13" i="21"/>
  <c r="L37" i="21" l="1"/>
  <c r="F9" i="21"/>
  <c r="F7" i="21"/>
  <c r="F35" i="21"/>
  <c r="F32" i="21"/>
  <c r="F8" i="21"/>
  <c r="F12" i="21"/>
  <c r="C13" i="21"/>
  <c r="J13" i="21" s="1"/>
  <c r="E9" i="21"/>
  <c r="D9" i="21"/>
  <c r="E23" i="21"/>
  <c r="D23" i="21"/>
  <c r="E18" i="21"/>
  <c r="D18" i="21"/>
  <c r="D14" i="21"/>
  <c r="E14" i="21"/>
  <c r="D35" i="21"/>
  <c r="E12" i="21"/>
  <c r="D12" i="21"/>
  <c r="C12" i="21" s="1"/>
  <c r="J12" i="21" s="1"/>
  <c r="D36" i="21"/>
  <c r="D32" i="21"/>
  <c r="E29" i="21"/>
  <c r="D29" i="21"/>
  <c r="E28" i="21"/>
  <c r="D28" i="21"/>
  <c r="E24" i="21"/>
  <c r="D24" i="21"/>
  <c r="E22" i="21"/>
  <c r="D22" i="21"/>
  <c r="E21" i="21"/>
  <c r="D21" i="21"/>
  <c r="C21" i="21" s="1"/>
  <c r="J21" i="21" s="1"/>
  <c r="L31" i="21"/>
  <c r="L30" i="21"/>
  <c r="L38" i="21"/>
  <c r="L39" i="21"/>
  <c r="D20" i="21"/>
  <c r="E20" i="21"/>
  <c r="E10" i="21"/>
  <c r="D10" i="21"/>
  <c r="E8" i="21"/>
  <c r="D8" i="21"/>
  <c r="E6" i="21"/>
  <c r="D6" i="21"/>
  <c r="E15" i="21"/>
  <c r="D15" i="21"/>
  <c r="C14" i="21" l="1"/>
  <c r="J14" i="21" s="1"/>
  <c r="C18" i="21"/>
  <c r="J18" i="21" s="1"/>
  <c r="C28" i="21"/>
  <c r="J28" i="21" s="1"/>
  <c r="C10" i="21"/>
  <c r="J10" i="21" s="1"/>
  <c r="C24" i="21"/>
  <c r="J24" i="21" s="1"/>
  <c r="C20" i="21"/>
  <c r="J20" i="21" s="1"/>
  <c r="L20" i="21" s="1"/>
  <c r="C23" i="21"/>
  <c r="J23" i="21" s="1"/>
  <c r="C29" i="21"/>
  <c r="J29" i="21" s="1"/>
  <c r="C9" i="21"/>
  <c r="J9" i="21" s="1"/>
  <c r="C15" i="21"/>
  <c r="J15" i="21" s="1"/>
  <c r="C32" i="21"/>
  <c r="J32" i="21" s="1"/>
  <c r="C36" i="21"/>
  <c r="J36" i="21" s="1"/>
  <c r="C6" i="21"/>
  <c r="J6" i="21" s="1"/>
  <c r="C8" i="21"/>
  <c r="J8" i="21" s="1"/>
  <c r="C22" i="21"/>
  <c r="J22" i="21" s="1"/>
  <c r="C35" i="21"/>
  <c r="J35" i="21" s="1"/>
  <c r="E7" i="21"/>
  <c r="D7" i="21"/>
  <c r="E5" i="21"/>
  <c r="D5" i="21"/>
  <c r="D4" i="21"/>
  <c r="E4" i="21"/>
  <c r="D16" i="21"/>
  <c r="C7" i="21" l="1"/>
  <c r="J7" i="21" s="1"/>
  <c r="C16" i="21"/>
  <c r="J16" i="21" s="1"/>
  <c r="C4" i="21"/>
  <c r="C5" i="21"/>
  <c r="J5" i="21" s="1"/>
  <c r="L29" i="21"/>
  <c r="K36" i="21"/>
  <c r="L36" i="21"/>
  <c r="L23" i="21"/>
  <c r="L18" i="21"/>
  <c r="L13" i="21"/>
  <c r="E25" i="20"/>
  <c r="L16" i="21" l="1"/>
  <c r="L27" i="21"/>
  <c r="L15" i="21"/>
  <c r="L24" i="21"/>
  <c r="L25" i="21"/>
  <c r="L35" i="21"/>
  <c r="L10" i="21"/>
  <c r="L5" i="21"/>
  <c r="L28" i="21"/>
  <c r="L7" i="21"/>
  <c r="L14" i="21"/>
  <c r="L33" i="21"/>
  <c r="L22" i="21"/>
  <c r="L12" i="21"/>
  <c r="L26" i="21"/>
  <c r="L4" i="21"/>
  <c r="L40" i="21" s="1"/>
  <c r="L32" i="21"/>
  <c r="L19" i="21"/>
  <c r="L21" i="21"/>
  <c r="L6" i="21"/>
  <c r="F8" i="20"/>
  <c r="F13" i="20"/>
  <c r="F18" i="20"/>
  <c r="F19" i="20"/>
  <c r="F25" i="20"/>
  <c r="F26" i="20"/>
  <c r="F32" i="20"/>
  <c r="F30" i="20"/>
  <c r="F38" i="20"/>
  <c r="F39" i="20"/>
  <c r="F4" i="20"/>
  <c r="E36" i="20"/>
  <c r="G36" i="20" s="1"/>
  <c r="O18" i="15"/>
  <c r="O21" i="17" s="1"/>
  <c r="O23" i="19" s="1"/>
  <c r="O23" i="15"/>
  <c r="F34" i="20"/>
  <c r="G34" i="19"/>
  <c r="F36" i="20" l="1"/>
  <c r="H34" i="19"/>
  <c r="K34" i="19" s="1"/>
  <c r="O23" i="20"/>
  <c r="L8" i="21"/>
  <c r="L9" i="21"/>
  <c r="E27" i="20"/>
  <c r="F27" i="20" s="1"/>
  <c r="K31" i="12"/>
  <c r="O21" i="15"/>
  <c r="H36" i="20" l="1"/>
  <c r="K36" i="20" s="1"/>
  <c r="E7" i="20"/>
  <c r="F7" i="20" s="1"/>
  <c r="E23" i="20"/>
  <c r="F23" i="20" s="1"/>
  <c r="E14" i="20"/>
  <c r="E24" i="20"/>
  <c r="F24" i="20" s="1"/>
  <c r="F22" i="20"/>
  <c r="E33" i="20"/>
  <c r="E35" i="20" l="1"/>
  <c r="I52" i="12"/>
  <c r="E10" i="20" l="1"/>
  <c r="E6" i="20" l="1"/>
  <c r="F6" i="20" s="1"/>
  <c r="E15" i="20"/>
  <c r="F15" i="20" s="1"/>
  <c r="E16" i="20"/>
  <c r="O25" i="20" l="1"/>
  <c r="O26" i="20"/>
  <c r="O27" i="20"/>
  <c r="H32" i="20" l="1"/>
  <c r="E12" i="20"/>
  <c r="E28" i="20"/>
  <c r="F28" i="20" s="1"/>
  <c r="D33" i="20"/>
  <c r="C33" i="20"/>
  <c r="D29" i="20"/>
  <c r="F29" i="20" s="1"/>
  <c r="D21" i="20"/>
  <c r="F21" i="20" s="1"/>
  <c r="D20" i="20"/>
  <c r="F20" i="20" s="1"/>
  <c r="D35" i="20"/>
  <c r="C35" i="20"/>
  <c r="F35" i="20" s="1"/>
  <c r="D16" i="20"/>
  <c r="F16" i="20" s="1"/>
  <c r="F33" i="20" l="1"/>
  <c r="H33" i="20" s="1"/>
  <c r="K33" i="20" s="1"/>
  <c r="D12" i="20"/>
  <c r="F12" i="20" s="1"/>
  <c r="E5" i="20"/>
  <c r="D5" i="20"/>
  <c r="P33" i="19"/>
  <c r="O33" i="19"/>
  <c r="D14" i="20"/>
  <c r="C14" i="20"/>
  <c r="F14" i="20" s="1"/>
  <c r="C10" i="20"/>
  <c r="F10" i="20" s="1"/>
  <c r="F40" i="20" s="1"/>
  <c r="C9" i="20"/>
  <c r="H26" i="20"/>
  <c r="K26" i="20" s="1"/>
  <c r="H25" i="20"/>
  <c r="K25" i="20" s="1"/>
  <c r="H23" i="20"/>
  <c r="K23" i="20" s="1"/>
  <c r="Q19" i="20"/>
  <c r="H19" i="20"/>
  <c r="K19" i="20" s="1"/>
  <c r="O8" i="20"/>
  <c r="O5" i="20"/>
  <c r="O17" i="19"/>
  <c r="O18" i="20" s="1"/>
  <c r="C33" i="19"/>
  <c r="D33" i="19"/>
  <c r="D7" i="19"/>
  <c r="D5" i="19"/>
  <c r="D31" i="19"/>
  <c r="C32" i="19"/>
  <c r="D32" i="19"/>
  <c r="D16" i="19"/>
  <c r="D13" i="19"/>
  <c r="D29" i="19"/>
  <c r="D14" i="19"/>
  <c r="C30" i="19"/>
  <c r="C15" i="19"/>
  <c r="C28" i="19"/>
  <c r="D28" i="19"/>
  <c r="G11" i="19"/>
  <c r="C20" i="19"/>
  <c r="D20" i="19"/>
  <c r="C18" i="19"/>
  <c r="D18" i="19"/>
  <c r="C14" i="19"/>
  <c r="C12" i="19"/>
  <c r="D12" i="19"/>
  <c r="C9" i="19"/>
  <c r="D9" i="19"/>
  <c r="C8" i="19"/>
  <c r="D8" i="19"/>
  <c r="C7" i="19"/>
  <c r="C5" i="19"/>
  <c r="C4" i="19"/>
  <c r="F9" i="20" l="1"/>
  <c r="F5" i="20"/>
  <c r="N11" i="19"/>
  <c r="O33" i="20"/>
  <c r="Q33" i="20"/>
  <c r="G5" i="19"/>
  <c r="H13" i="20"/>
  <c r="K13" i="20" s="1"/>
  <c r="N13" i="20"/>
  <c r="R13" i="20" s="1"/>
  <c r="H35" i="20"/>
  <c r="K35" i="20" s="1"/>
  <c r="P35" i="20"/>
  <c r="H10" i="20"/>
  <c r="K10" i="20" s="1"/>
  <c r="H6" i="20"/>
  <c r="H8" i="20"/>
  <c r="K8" i="20" s="1"/>
  <c r="H24" i="20"/>
  <c r="K24" i="20" s="1"/>
  <c r="Q14" i="20"/>
  <c r="H27" i="20"/>
  <c r="K27" i="20" s="1"/>
  <c r="H22" i="20"/>
  <c r="K22" i="20" s="1"/>
  <c r="H16" i="20"/>
  <c r="K16" i="20" s="1"/>
  <c r="H29" i="20"/>
  <c r="K29" i="20" s="1"/>
  <c r="H12" i="20"/>
  <c r="K12" i="20" s="1"/>
  <c r="H7" i="20"/>
  <c r="K7" i="20" s="1"/>
  <c r="R18" i="20"/>
  <c r="H18" i="20"/>
  <c r="K18" i="20" s="1"/>
  <c r="K32" i="20"/>
  <c r="H4" i="20"/>
  <c r="H15" i="20"/>
  <c r="K15" i="20" s="1"/>
  <c r="H28" i="20"/>
  <c r="K28" i="20" s="1"/>
  <c r="H20" i="20"/>
  <c r="K20" i="20" s="1"/>
  <c r="H21" i="20"/>
  <c r="K21" i="20" s="1"/>
  <c r="G33" i="19"/>
  <c r="G9" i="19"/>
  <c r="G30" i="19"/>
  <c r="H30" i="19" s="1"/>
  <c r="K30" i="19" s="1"/>
  <c r="G32" i="19"/>
  <c r="Q31" i="19"/>
  <c r="G31" i="19"/>
  <c r="G29" i="19"/>
  <c r="G28" i="19"/>
  <c r="O27" i="19"/>
  <c r="G27" i="19"/>
  <c r="O26" i="19"/>
  <c r="G26" i="19"/>
  <c r="O25" i="19"/>
  <c r="G25" i="19"/>
  <c r="G24" i="19"/>
  <c r="G23" i="19"/>
  <c r="G22" i="19"/>
  <c r="G21" i="19"/>
  <c r="G20" i="19"/>
  <c r="P19" i="19"/>
  <c r="G19" i="19"/>
  <c r="G18" i="19"/>
  <c r="Q17" i="19"/>
  <c r="G16" i="19"/>
  <c r="G15" i="19"/>
  <c r="G14" i="19"/>
  <c r="Q13" i="19"/>
  <c r="G13" i="19"/>
  <c r="G12" i="19"/>
  <c r="G10" i="19"/>
  <c r="O8" i="19"/>
  <c r="G8" i="19"/>
  <c r="G7" i="19"/>
  <c r="G6" i="19"/>
  <c r="O5" i="19"/>
  <c r="G4" i="19"/>
  <c r="K6" i="20" l="1"/>
  <c r="H40" i="20"/>
  <c r="H15" i="19"/>
  <c r="K15" i="19" s="1"/>
  <c r="H31" i="19"/>
  <c r="K31" i="19" s="1"/>
  <c r="H13" i="19"/>
  <c r="K13" i="19" s="1"/>
  <c r="N32" i="19"/>
  <c r="H33" i="19"/>
  <c r="K33" i="19" s="1"/>
  <c r="N33" i="19"/>
  <c r="H9" i="20"/>
  <c r="K9" i="20" s="1"/>
  <c r="H14" i="20"/>
  <c r="K14" i="20" s="1"/>
  <c r="H5" i="20"/>
  <c r="K5" i="20" s="1"/>
  <c r="K4" i="20"/>
  <c r="H32" i="19"/>
  <c r="K32" i="19" s="1"/>
  <c r="H6" i="19"/>
  <c r="K6" i="19" s="1"/>
  <c r="H11" i="19"/>
  <c r="K11" i="19" s="1"/>
  <c r="H17" i="19"/>
  <c r="K17" i="19" s="1"/>
  <c r="H5" i="19"/>
  <c r="K5" i="19" s="1"/>
  <c r="H21" i="19"/>
  <c r="K21" i="19" s="1"/>
  <c r="H22" i="19"/>
  <c r="K22" i="19" s="1"/>
  <c r="H23" i="19"/>
  <c r="K23" i="19" s="1"/>
  <c r="H29" i="19"/>
  <c r="K29" i="19" s="1"/>
  <c r="H24" i="19"/>
  <c r="K24" i="19" s="1"/>
  <c r="H7" i="19"/>
  <c r="K7" i="19" s="1"/>
  <c r="H25" i="19"/>
  <c r="K25" i="19" s="1"/>
  <c r="H4" i="19"/>
  <c r="H8" i="19"/>
  <c r="K8" i="19" s="1"/>
  <c r="H12" i="19"/>
  <c r="K12" i="19" s="1"/>
  <c r="H27" i="19"/>
  <c r="K27" i="19" s="1"/>
  <c r="H28" i="19"/>
  <c r="K28" i="19" s="1"/>
  <c r="H14" i="19"/>
  <c r="K14" i="19" s="1"/>
  <c r="H18" i="19"/>
  <c r="K18" i="19" s="1"/>
  <c r="H16" i="19"/>
  <c r="K16" i="19" s="1"/>
  <c r="H20" i="19"/>
  <c r="K20" i="19" s="1"/>
  <c r="H10" i="19"/>
  <c r="K10" i="19" s="1"/>
  <c r="H19" i="19"/>
  <c r="K19" i="19" s="1"/>
  <c r="H26" i="19"/>
  <c r="K26" i="19" s="1"/>
  <c r="H9" i="19"/>
  <c r="K9" i="19" s="1"/>
  <c r="N33" i="20" l="1"/>
  <c r="Q32" i="19"/>
  <c r="N32" i="20"/>
  <c r="R32" i="20" s="1"/>
  <c r="K4" i="19"/>
  <c r="K37" i="19" s="1"/>
  <c r="K38" i="19" l="1"/>
  <c r="K39" i="19" s="1"/>
  <c r="Q13" i="17" l="1"/>
  <c r="Q17" i="17"/>
  <c r="Q30" i="17"/>
  <c r="Q31" i="17"/>
  <c r="S40" i="18" l="1"/>
  <c r="S41" i="18" s="1"/>
  <c r="E29" i="18"/>
  <c r="G29" i="18" s="1"/>
  <c r="E28" i="18"/>
  <c r="G28" i="18" s="1"/>
  <c r="P27" i="18"/>
  <c r="C27" i="18"/>
  <c r="G27" i="18" s="1"/>
  <c r="P26" i="18"/>
  <c r="G26" i="18"/>
  <c r="O26" i="18" s="1"/>
  <c r="P25" i="18"/>
  <c r="C25" i="18"/>
  <c r="G25" i="18" s="1"/>
  <c r="F24" i="18"/>
  <c r="E24" i="18"/>
  <c r="G24" i="18" s="1"/>
  <c r="F23" i="18"/>
  <c r="E23" i="18"/>
  <c r="G23" i="18" s="1"/>
  <c r="F22" i="18"/>
  <c r="E22" i="18"/>
  <c r="G22" i="18" s="1"/>
  <c r="F21" i="18"/>
  <c r="E21" i="18"/>
  <c r="G21" i="18" s="1"/>
  <c r="I21" i="18" s="1"/>
  <c r="L21" i="18" s="1"/>
  <c r="O20" i="18"/>
  <c r="F20" i="18"/>
  <c r="G20" i="18" s="1"/>
  <c r="E20" i="18"/>
  <c r="Q19" i="18"/>
  <c r="E19" i="18"/>
  <c r="G19" i="18" s="1"/>
  <c r="E18" i="18"/>
  <c r="P18" i="18" s="1"/>
  <c r="D18" i="18"/>
  <c r="C18" i="18"/>
  <c r="C17" i="18"/>
  <c r="G17" i="18" s="1"/>
  <c r="E16" i="18"/>
  <c r="G16" i="18" s="1"/>
  <c r="D16" i="18"/>
  <c r="C16" i="18"/>
  <c r="E15" i="18"/>
  <c r="G15" i="18" s="1"/>
  <c r="E14" i="18"/>
  <c r="G14" i="18" s="1"/>
  <c r="D14" i="18"/>
  <c r="C14" i="18"/>
  <c r="E13" i="18"/>
  <c r="D13" i="18"/>
  <c r="C13" i="18"/>
  <c r="G13" i="18" s="1"/>
  <c r="I13" i="18" s="1"/>
  <c r="L13" i="18" s="1"/>
  <c r="E12" i="18"/>
  <c r="D12" i="18"/>
  <c r="C12" i="18"/>
  <c r="G12" i="18" s="1"/>
  <c r="G11" i="18"/>
  <c r="I11" i="18" s="1"/>
  <c r="L11" i="18" s="1"/>
  <c r="E10" i="18"/>
  <c r="G10" i="18" s="1"/>
  <c r="C10" i="18"/>
  <c r="E9" i="18"/>
  <c r="D9" i="18"/>
  <c r="C9" i="18"/>
  <c r="G9" i="18" s="1"/>
  <c r="P8" i="18"/>
  <c r="G8" i="18"/>
  <c r="E8" i="18"/>
  <c r="D8" i="18"/>
  <c r="C8" i="18"/>
  <c r="D7" i="18"/>
  <c r="G7" i="18" s="1"/>
  <c r="C7" i="18"/>
  <c r="E6" i="18"/>
  <c r="C6" i="18"/>
  <c r="G6" i="18" s="1"/>
  <c r="P5" i="18"/>
  <c r="G5" i="18"/>
  <c r="F5" i="18"/>
  <c r="E5" i="18"/>
  <c r="D5" i="18"/>
  <c r="C5" i="18"/>
  <c r="D4" i="18"/>
  <c r="C4" i="18"/>
  <c r="G4" i="18" s="1"/>
  <c r="I9" i="18" l="1"/>
  <c r="L9" i="18" s="1"/>
  <c r="P19" i="18"/>
  <c r="I19" i="18"/>
  <c r="L19" i="18" s="1"/>
  <c r="I22" i="18"/>
  <c r="L22" i="18" s="1"/>
  <c r="P22" i="18"/>
  <c r="I24" i="18"/>
  <c r="L24" i="18" s="1"/>
  <c r="O25" i="18"/>
  <c r="I25" i="18"/>
  <c r="L25" i="18" s="1"/>
  <c r="I6" i="18"/>
  <c r="L6" i="18" s="1"/>
  <c r="I14" i="18"/>
  <c r="L14" i="18" s="1"/>
  <c r="I20" i="18"/>
  <c r="L20" i="18" s="1"/>
  <c r="I10" i="18"/>
  <c r="L10" i="18" s="1"/>
  <c r="I15" i="18"/>
  <c r="L15" i="18" s="1"/>
  <c r="I4" i="18"/>
  <c r="G30" i="18"/>
  <c r="I7" i="18"/>
  <c r="L7" i="18" s="1"/>
  <c r="I12" i="18"/>
  <c r="L12" i="18" s="1"/>
  <c r="I27" i="18"/>
  <c r="L27" i="18" s="1"/>
  <c r="O27" i="18"/>
  <c r="I16" i="18"/>
  <c r="L16" i="18" s="1"/>
  <c r="Q17" i="18"/>
  <c r="I17" i="18"/>
  <c r="L17" i="18" s="1"/>
  <c r="I28" i="18"/>
  <c r="L28" i="18" s="1"/>
  <c r="O28" i="18"/>
  <c r="P23" i="18"/>
  <c r="I23" i="18"/>
  <c r="L23" i="18" s="1"/>
  <c r="O29" i="18"/>
  <c r="I29" i="18"/>
  <c r="L29" i="18" s="1"/>
  <c r="O11" i="18"/>
  <c r="P11" i="18"/>
  <c r="I8" i="18"/>
  <c r="L8" i="18" s="1"/>
  <c r="P21" i="18"/>
  <c r="I5" i="18"/>
  <c r="L5" i="18" s="1"/>
  <c r="G18" i="18"/>
  <c r="I18" i="18" s="1"/>
  <c r="L18" i="18" s="1"/>
  <c r="I26" i="18"/>
  <c r="L26" i="18" s="1"/>
  <c r="I30" i="18" l="1"/>
  <c r="L4" i="18"/>
  <c r="L30" i="18" s="1"/>
  <c r="L31" i="18" l="1"/>
  <c r="L32" i="18" s="1"/>
  <c r="C8" i="17" l="1"/>
  <c r="D28" i="17"/>
  <c r="D29" i="17"/>
  <c r="C29" i="17"/>
  <c r="C28" i="17"/>
  <c r="C18" i="17"/>
  <c r="G18" i="17" s="1"/>
  <c r="C10" i="17"/>
  <c r="D21" i="17"/>
  <c r="D16" i="17"/>
  <c r="D19" i="17"/>
  <c r="D23" i="17"/>
  <c r="G30" i="17"/>
  <c r="G31" i="17"/>
  <c r="D32" i="17"/>
  <c r="G32" i="17" s="1"/>
  <c r="D18" i="17"/>
  <c r="D14" i="17"/>
  <c r="D13" i="17"/>
  <c r="D12" i="17"/>
  <c r="D9" i="17"/>
  <c r="D8" i="17"/>
  <c r="D7" i="17"/>
  <c r="D5" i="17"/>
  <c r="D4" i="17"/>
  <c r="H30" i="17" l="1"/>
  <c r="K30" i="17" s="1"/>
  <c r="H31" i="17"/>
  <c r="K31" i="17" s="1"/>
  <c r="G29" i="17"/>
  <c r="G28" i="17"/>
  <c r="H32" i="17"/>
  <c r="N32" i="17"/>
  <c r="Q32" i="17" s="1"/>
  <c r="C27" i="17"/>
  <c r="C26" i="17"/>
  <c r="G26" i="17" s="1"/>
  <c r="C25" i="17"/>
  <c r="C24" i="17"/>
  <c r="C23" i="17"/>
  <c r="C22" i="17"/>
  <c r="C21" i="17"/>
  <c r="C20" i="17"/>
  <c r="C19" i="17"/>
  <c r="C16" i="17"/>
  <c r="C14" i="17"/>
  <c r="C13" i="17"/>
  <c r="C12" i="17"/>
  <c r="H29" i="17" l="1"/>
  <c r="K29" i="17" s="1"/>
  <c r="H28" i="17"/>
  <c r="K28" i="17" s="1"/>
  <c r="C9" i="17"/>
  <c r="G9" i="17" s="1"/>
  <c r="G8" i="17"/>
  <c r="C7" i="17"/>
  <c r="G7" i="17" s="1"/>
  <c r="C15" i="17"/>
  <c r="G15" i="17" s="1"/>
  <c r="C6" i="17"/>
  <c r="G6" i="17" s="1"/>
  <c r="C4" i="17"/>
  <c r="G4" i="17" s="1"/>
  <c r="C5" i="17"/>
  <c r="G5" i="17" s="1"/>
  <c r="O27" i="17"/>
  <c r="G27" i="17"/>
  <c r="O26" i="17"/>
  <c r="O25" i="17"/>
  <c r="G25" i="17"/>
  <c r="G24" i="17"/>
  <c r="G23" i="17"/>
  <c r="G22" i="17"/>
  <c r="G20" i="17"/>
  <c r="P19" i="17"/>
  <c r="G19" i="17"/>
  <c r="G17" i="17"/>
  <c r="G16" i="17"/>
  <c r="G14" i="17"/>
  <c r="G13" i="17"/>
  <c r="G12" i="17"/>
  <c r="G11" i="17"/>
  <c r="N11" i="17" s="1"/>
  <c r="G10" i="17"/>
  <c r="O8" i="17"/>
  <c r="O5" i="17"/>
  <c r="H15" i="17" l="1"/>
  <c r="K15" i="17" s="1"/>
  <c r="H8" i="17"/>
  <c r="K8" i="17" s="1"/>
  <c r="H13" i="17"/>
  <c r="K13" i="17" s="1"/>
  <c r="H26" i="17"/>
  <c r="K26" i="17" s="1"/>
  <c r="O11" i="17"/>
  <c r="O11" i="19" s="1"/>
  <c r="Q11" i="19" s="1"/>
  <c r="H9" i="17"/>
  <c r="K9" i="17" s="1"/>
  <c r="H10" i="17"/>
  <c r="K10" i="17" s="1"/>
  <c r="H14" i="17"/>
  <c r="K14" i="17" s="1"/>
  <c r="H27" i="17"/>
  <c r="K27" i="17" s="1"/>
  <c r="H6" i="17"/>
  <c r="K6" i="17" s="1"/>
  <c r="H4" i="17"/>
  <c r="K4" i="17" s="1"/>
  <c r="H16" i="17"/>
  <c r="K16" i="17" s="1"/>
  <c r="H23" i="17"/>
  <c r="K23" i="17" s="1"/>
  <c r="H7" i="17"/>
  <c r="K7" i="17" s="1"/>
  <c r="H12" i="17"/>
  <c r="K12" i="17" s="1"/>
  <c r="H20" i="17"/>
  <c r="K20" i="17" s="1"/>
  <c r="H25" i="17"/>
  <c r="K25" i="17" s="1"/>
  <c r="H5" i="17"/>
  <c r="K5" i="17" s="1"/>
  <c r="H19" i="17"/>
  <c r="K19" i="17" s="1"/>
  <c r="H17" i="17"/>
  <c r="K17" i="17" s="1"/>
  <c r="G21" i="17"/>
  <c r="H11" i="17"/>
  <c r="K11" i="17" s="1"/>
  <c r="H22" i="17"/>
  <c r="K22" i="17" s="1"/>
  <c r="H24" i="17"/>
  <c r="K24" i="17" s="1"/>
  <c r="E6" i="15"/>
  <c r="E29" i="15"/>
  <c r="G29" i="15" s="1"/>
  <c r="E28" i="15"/>
  <c r="G28" i="15" s="1"/>
  <c r="C18" i="15"/>
  <c r="P19" i="15"/>
  <c r="E11" i="14"/>
  <c r="E16" i="15"/>
  <c r="F5" i="15"/>
  <c r="D6" i="14"/>
  <c r="E6" i="14"/>
  <c r="E5" i="15"/>
  <c r="E15" i="15"/>
  <c r="E14" i="15"/>
  <c r="E8" i="15"/>
  <c r="C17" i="15"/>
  <c r="G17" i="15" s="1"/>
  <c r="E7" i="14"/>
  <c r="L47" i="12"/>
  <c r="M47" i="12"/>
  <c r="O47" i="12"/>
  <c r="E9" i="15"/>
  <c r="N20" i="15"/>
  <c r="J30" i="12"/>
  <c r="F20" i="15"/>
  <c r="F24" i="15"/>
  <c r="O24" i="18"/>
  <c r="K34" i="12"/>
  <c r="F23" i="15"/>
  <c r="F22" i="15"/>
  <c r="F21" i="15"/>
  <c r="E21" i="15"/>
  <c r="E18" i="15"/>
  <c r="K17" i="12"/>
  <c r="E24" i="15"/>
  <c r="E20" i="15"/>
  <c r="E19" i="15"/>
  <c r="G19" i="15" s="1"/>
  <c r="E22" i="15"/>
  <c r="E23" i="15"/>
  <c r="E10" i="15"/>
  <c r="E13" i="15"/>
  <c r="E12" i="15"/>
  <c r="R40" i="15"/>
  <c r="R41" i="15" s="1"/>
  <c r="D14" i="15"/>
  <c r="D18" i="15"/>
  <c r="D13" i="15"/>
  <c r="D8" i="15"/>
  <c r="D12" i="15"/>
  <c r="D4" i="15"/>
  <c r="D5" i="15"/>
  <c r="N17" i="14"/>
  <c r="P16" i="18" s="1"/>
  <c r="I47" i="12"/>
  <c r="O8" i="15"/>
  <c r="O5" i="15"/>
  <c r="C7" i="15"/>
  <c r="D7" i="15"/>
  <c r="G26" i="15"/>
  <c r="C27" i="15"/>
  <c r="G27" i="15" s="1"/>
  <c r="O19" i="15" l="1"/>
  <c r="P17" i="15"/>
  <c r="N28" i="15"/>
  <c r="N28" i="17" s="1"/>
  <c r="H26" i="15"/>
  <c r="H27" i="15"/>
  <c r="N27" i="15"/>
  <c r="N27" i="17" s="1"/>
  <c r="N27" i="19" s="1"/>
  <c r="H29" i="15"/>
  <c r="K29" i="15" s="1"/>
  <c r="N29" i="15"/>
  <c r="N29" i="17" s="1"/>
  <c r="O20" i="20"/>
  <c r="Q13" i="20"/>
  <c r="Q24" i="20"/>
  <c r="O12" i="20"/>
  <c r="R12" i="20" s="1"/>
  <c r="O12" i="19"/>
  <c r="Q11" i="17"/>
  <c r="N20" i="17"/>
  <c r="N20" i="19" s="1"/>
  <c r="P13" i="17"/>
  <c r="P13" i="19"/>
  <c r="Q13" i="18"/>
  <c r="K47" i="12"/>
  <c r="O19" i="17"/>
  <c r="O20" i="19"/>
  <c r="P20" i="18"/>
  <c r="J47" i="12"/>
  <c r="O12" i="17"/>
  <c r="P12" i="18"/>
  <c r="P17" i="17"/>
  <c r="P17" i="19"/>
  <c r="Q24" i="18"/>
  <c r="P24" i="15"/>
  <c r="P24" i="17"/>
  <c r="O20" i="17"/>
  <c r="H18" i="17"/>
  <c r="K18" i="17" s="1"/>
  <c r="H21" i="17"/>
  <c r="K21" i="17" s="1"/>
  <c r="O12" i="15"/>
  <c r="H28" i="15"/>
  <c r="P13" i="15"/>
  <c r="G22" i="15"/>
  <c r="H19" i="15"/>
  <c r="G23" i="15"/>
  <c r="G20" i="15"/>
  <c r="G24" i="15"/>
  <c r="G21" i="15"/>
  <c r="C25" i="15"/>
  <c r="G25" i="15" s="1"/>
  <c r="P17" i="20" l="1"/>
  <c r="O17" i="21"/>
  <c r="H25" i="15"/>
  <c r="K25" i="15" s="1"/>
  <c r="N25" i="15"/>
  <c r="N25" i="17" s="1"/>
  <c r="N25" i="19" s="1"/>
  <c r="N29" i="19"/>
  <c r="Q29" i="17"/>
  <c r="H21" i="15"/>
  <c r="P21" i="15"/>
  <c r="P21" i="17" s="1"/>
  <c r="P21" i="19" s="1"/>
  <c r="N23" i="15"/>
  <c r="P23" i="15" s="1"/>
  <c r="P23" i="17" s="1"/>
  <c r="P23" i="19" s="1"/>
  <c r="N27" i="20"/>
  <c r="N20" i="20"/>
  <c r="R20" i="20" s="1"/>
  <c r="I49" i="12"/>
  <c r="K33" i="17"/>
  <c r="K34" i="17" s="1"/>
  <c r="K35" i="17" s="1"/>
  <c r="Q28" i="17"/>
  <c r="N28" i="19"/>
  <c r="Q19" i="17"/>
  <c r="O19" i="19"/>
  <c r="Q21" i="17"/>
  <c r="O21" i="19"/>
  <c r="Q20" i="19"/>
  <c r="Q30" i="18"/>
  <c r="Q20" i="17"/>
  <c r="K28" i="15"/>
  <c r="N24" i="15"/>
  <c r="H24" i="15"/>
  <c r="O20" i="15"/>
  <c r="H20" i="15"/>
  <c r="H23" i="15"/>
  <c r="O22" i="15"/>
  <c r="H22" i="15"/>
  <c r="K26" i="15"/>
  <c r="O26" i="15"/>
  <c r="O27" i="15"/>
  <c r="O25" i="15"/>
  <c r="C4" i="15"/>
  <c r="C12" i="15"/>
  <c r="C14" i="15"/>
  <c r="C10" i="15"/>
  <c r="D9" i="15"/>
  <c r="C9" i="15"/>
  <c r="C6" i="15"/>
  <c r="D16" i="15"/>
  <c r="C16" i="15"/>
  <c r="C13" i="15"/>
  <c r="G16" i="15" l="1"/>
  <c r="O16" i="15" s="1"/>
  <c r="O16" i="17" s="1"/>
  <c r="Q23" i="20"/>
  <c r="P33" i="17"/>
  <c r="Q29" i="19"/>
  <c r="N29" i="20"/>
  <c r="R29" i="20" s="1"/>
  <c r="P37" i="19"/>
  <c r="Q19" i="19"/>
  <c r="O19" i="20"/>
  <c r="R19" i="20" s="1"/>
  <c r="Q21" i="19"/>
  <c r="O21" i="20"/>
  <c r="R21" i="20" s="1"/>
  <c r="Q28" i="19"/>
  <c r="N28" i="20"/>
  <c r="R28" i="20" s="1"/>
  <c r="O23" i="17"/>
  <c r="N24" i="17"/>
  <c r="O22" i="17"/>
  <c r="G18" i="15"/>
  <c r="N26" i="15"/>
  <c r="K27" i="15"/>
  <c r="C5" i="15"/>
  <c r="G5" i="15" s="1"/>
  <c r="H5" i="15" l="1"/>
  <c r="H18" i="15"/>
  <c r="K18" i="15" s="1"/>
  <c r="Q22" i="17"/>
  <c r="O22" i="19"/>
  <c r="Q16" i="17"/>
  <c r="O16" i="19"/>
  <c r="Q27" i="17"/>
  <c r="Q24" i="17"/>
  <c r="N24" i="19"/>
  <c r="Q23" i="17"/>
  <c r="O18" i="17"/>
  <c r="N26" i="17"/>
  <c r="C8" i="15"/>
  <c r="Q23" i="19" l="1"/>
  <c r="R23" i="20"/>
  <c r="Q24" i="19"/>
  <c r="N24" i="20"/>
  <c r="R24" i="20" s="1"/>
  <c r="Q22" i="19"/>
  <c r="O22" i="20"/>
  <c r="R22" i="20" s="1"/>
  <c r="Q27" i="19"/>
  <c r="R27" i="20"/>
  <c r="Q16" i="19"/>
  <c r="O16" i="20"/>
  <c r="Q18" i="17"/>
  <c r="O18" i="19"/>
  <c r="Q18" i="19" s="1"/>
  <c r="Q26" i="17"/>
  <c r="N26" i="19"/>
  <c r="Q25" i="17"/>
  <c r="F17" i="14"/>
  <c r="F41" i="14" s="1"/>
  <c r="G15" i="15"/>
  <c r="G14" i="15"/>
  <c r="G12" i="15"/>
  <c r="G11" i="15"/>
  <c r="G10" i="15"/>
  <c r="G9" i="15"/>
  <c r="G8" i="15"/>
  <c r="G7" i="15"/>
  <c r="G6" i="15"/>
  <c r="G4" i="15"/>
  <c r="R16" i="20" l="1"/>
  <c r="Q25" i="19"/>
  <c r="N25" i="20"/>
  <c r="R25" i="20" s="1"/>
  <c r="Q26" i="19"/>
  <c r="N26" i="20"/>
  <c r="R26" i="20" s="1"/>
  <c r="H4" i="15"/>
  <c r="H12" i="15"/>
  <c r="K12" i="15" s="1"/>
  <c r="P30" i="15"/>
  <c r="H17" i="15"/>
  <c r="K17" i="15" s="1"/>
  <c r="K20" i="15"/>
  <c r="K19" i="15"/>
  <c r="K24" i="15"/>
  <c r="K23" i="15"/>
  <c r="K22" i="15"/>
  <c r="H11" i="15"/>
  <c r="K11" i="15" s="1"/>
  <c r="O11" i="15"/>
  <c r="N11" i="15"/>
  <c r="H10" i="15"/>
  <c r="K10" i="15" s="1"/>
  <c r="H6" i="15"/>
  <c r="K6" i="15" s="1"/>
  <c r="H14" i="15"/>
  <c r="K14" i="15" s="1"/>
  <c r="H7" i="15"/>
  <c r="K7" i="15" s="1"/>
  <c r="H15" i="15"/>
  <c r="H8" i="15"/>
  <c r="K8" i="15" s="1"/>
  <c r="H9" i="15"/>
  <c r="K9" i="15" s="1"/>
  <c r="G13" i="15"/>
  <c r="K4" i="15" l="1"/>
  <c r="K15" i="15"/>
  <c r="K21" i="15"/>
  <c r="H16" i="15"/>
  <c r="K16" i="15" s="1"/>
  <c r="H13" i="15"/>
  <c r="K13" i="15" s="1"/>
  <c r="K5" i="15"/>
  <c r="E4" i="14" l="1"/>
  <c r="C7" i="14" l="1"/>
  <c r="G7" i="14" s="1"/>
  <c r="C16" i="14"/>
  <c r="E17" i="14"/>
  <c r="E14" i="14"/>
  <c r="G14" i="14" s="1"/>
  <c r="C15" i="14"/>
  <c r="C11" i="14"/>
  <c r="C9" i="14"/>
  <c r="D5" i="14"/>
  <c r="C5" i="14"/>
  <c r="D10" i="14"/>
  <c r="C10" i="14"/>
  <c r="E41" i="14" l="1"/>
  <c r="H14" i="14"/>
  <c r="O4" i="20"/>
  <c r="O4" i="17"/>
  <c r="O4" i="19"/>
  <c r="P4" i="18"/>
  <c r="O4" i="15"/>
  <c r="G5" i="14"/>
  <c r="H5" i="14" l="1"/>
  <c r="B2" i="22"/>
  <c r="O4" i="18"/>
  <c r="N4" i="15"/>
  <c r="N4" i="17" s="1"/>
  <c r="G10" i="14"/>
  <c r="G11" i="14"/>
  <c r="G12" i="14"/>
  <c r="G16" i="14"/>
  <c r="D9" i="14"/>
  <c r="G9" i="14" s="1"/>
  <c r="M16" i="14" l="1"/>
  <c r="O8" i="18"/>
  <c r="Q4" i="17"/>
  <c r="N4" i="19"/>
  <c r="N8" i="15"/>
  <c r="H9" i="14"/>
  <c r="H16" i="14"/>
  <c r="N16" i="14"/>
  <c r="P15" i="18" s="1"/>
  <c r="H11" i="14"/>
  <c r="P10" i="18"/>
  <c r="H10" i="14"/>
  <c r="P9" i="18"/>
  <c r="Q4" i="19" l="1"/>
  <c r="N4" i="20"/>
  <c r="N8" i="17"/>
  <c r="O15" i="15"/>
  <c r="O9" i="15"/>
  <c r="O9" i="17" s="1"/>
  <c r="O10" i="15"/>
  <c r="C4" i="14"/>
  <c r="C17" i="14"/>
  <c r="D17" i="14"/>
  <c r="G15" i="14"/>
  <c r="D13" i="14"/>
  <c r="C8" i="14"/>
  <c r="G8" i="14" s="1"/>
  <c r="D4" i="14"/>
  <c r="U7" i="12"/>
  <c r="T7" i="12"/>
  <c r="C6" i="14"/>
  <c r="C41" i="14" l="1"/>
  <c r="D41" i="14"/>
  <c r="M17" i="14"/>
  <c r="N7" i="15"/>
  <c r="N7" i="17" s="1"/>
  <c r="O7" i="18"/>
  <c r="R4" i="20"/>
  <c r="Q8" i="17"/>
  <c r="N8" i="19"/>
  <c r="O10" i="17"/>
  <c r="O15" i="17"/>
  <c r="G4" i="14"/>
  <c r="H4" i="14" s="1"/>
  <c r="G17" i="14"/>
  <c r="O14" i="18"/>
  <c r="H15" i="14"/>
  <c r="H7" i="14"/>
  <c r="P6" i="18"/>
  <c r="P30" i="18" s="1"/>
  <c r="H8" i="14"/>
  <c r="G13" i="14"/>
  <c r="G6" i="14"/>
  <c r="B75" i="12"/>
  <c r="T73" i="12"/>
  <c r="S73" i="12"/>
  <c r="V73" i="12" s="1"/>
  <c r="K73" i="12"/>
  <c r="H12" i="14"/>
  <c r="H12" i="13"/>
  <c r="D12" i="13"/>
  <c r="F12" i="13" s="1"/>
  <c r="J12" i="13" s="1"/>
  <c r="H11" i="13"/>
  <c r="F11" i="13"/>
  <c r="J11" i="13" s="1"/>
  <c r="H10" i="13"/>
  <c r="D10" i="13"/>
  <c r="F10" i="13" s="1"/>
  <c r="J10" i="13" s="1"/>
  <c r="H9" i="13"/>
  <c r="F9" i="13"/>
  <c r="J9" i="13" s="1"/>
  <c r="D8" i="13"/>
  <c r="F8" i="13" s="1"/>
  <c r="J8" i="13" s="1"/>
  <c r="H3" i="13"/>
  <c r="H8" i="13" s="1"/>
  <c r="E3" i="13"/>
  <c r="D3" i="13"/>
  <c r="F3" i="13" s="1"/>
  <c r="J3" i="13" s="1"/>
  <c r="O4" i="14" l="1"/>
  <c r="G41" i="14"/>
  <c r="O5" i="18"/>
  <c r="H17" i="14"/>
  <c r="O12" i="18"/>
  <c r="N8" i="20"/>
  <c r="R8" i="20" s="1"/>
  <c r="Q8" i="19"/>
  <c r="Q15" i="17"/>
  <c r="O15" i="19"/>
  <c r="Q9" i="17"/>
  <c r="O9" i="19"/>
  <c r="Q7" i="17"/>
  <c r="N7" i="19"/>
  <c r="Q10" i="17"/>
  <c r="O10" i="19"/>
  <c r="N12" i="15"/>
  <c r="O6" i="15"/>
  <c r="O6" i="17" s="1"/>
  <c r="O6" i="19" s="1"/>
  <c r="O6" i="20" s="1"/>
  <c r="N14" i="15"/>
  <c r="H6" i="14"/>
  <c r="N5" i="15"/>
  <c r="H13" i="14"/>
  <c r="U73" i="12"/>
  <c r="H41" i="14" l="1"/>
  <c r="O30" i="18"/>
  <c r="O30" i="15"/>
  <c r="N9" i="20"/>
  <c r="R9" i="20" s="1"/>
  <c r="Q7" i="19"/>
  <c r="N7" i="20"/>
  <c r="R7" i="20" s="1"/>
  <c r="Q15" i="19"/>
  <c r="O15" i="20"/>
  <c r="R15" i="20" s="1"/>
  <c r="R6" i="20"/>
  <c r="Q10" i="19"/>
  <c r="O10" i="20"/>
  <c r="R10" i="20" s="1"/>
  <c r="Q9" i="19"/>
  <c r="N5" i="17"/>
  <c r="N14" i="17"/>
  <c r="N12" i="17"/>
  <c r="O32" i="18"/>
  <c r="R30" i="18"/>
  <c r="N30" i="15"/>
  <c r="N32" i="15" l="1"/>
  <c r="N33" i="17"/>
  <c r="Q12" i="17"/>
  <c r="N12" i="19"/>
  <c r="Q12" i="19" s="1"/>
  <c r="Q14" i="17"/>
  <c r="N14" i="19"/>
  <c r="Q5" i="17"/>
  <c r="N5" i="19"/>
  <c r="O33" i="17"/>
  <c r="Q6" i="17"/>
  <c r="Q6" i="19"/>
  <c r="O37" i="19"/>
  <c r="Q30" i="15"/>
  <c r="Q5" i="19" l="1"/>
  <c r="Q37" i="19" s="1"/>
  <c r="N5" i="20"/>
  <c r="Q14" i="19"/>
  <c r="N14" i="20"/>
  <c r="R14" i="20" s="1"/>
  <c r="Q33" i="17"/>
  <c r="R5" i="20" l="1"/>
  <c r="R35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tc={1468DC32-06FB-44C6-A3EC-DD66232D1A99}</author>
    <author>tc={373AC715-9519-40EA-8763-79347CEA070C}</author>
    <author>tc={4A41A4E1-01D7-4B05-9D6B-07B6A1DC108E}</author>
  </authors>
  <commentList>
    <comment ref="I20" authorId="0" shapeId="0" xr:uid="{1468DC32-06FB-44C6-A3EC-DD66232D1A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INSUMOS LARA</t>
      </text>
    </comment>
    <comment ref="I22" authorId="1" shapeId="0" xr:uid="{373AC715-9519-40EA-8763-79347CEA07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INSUMOS NO LARA</t>
      </text>
    </comment>
    <comment ref="I23" authorId="2" shapeId="0" xr:uid="{4A41A4E1-01D7-4B05-9D6B-07B6A1DC10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INSUMOS LARA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tc={3BE33DE7-0EA7-4EB9-BD89-DFA6D0F16949}</author>
    <author>tc={7B946D21-7040-4C5A-839F-F37DD247D49D}</author>
    <author>tc={917F9E50-2839-45F3-842D-73554D9039E1}</author>
    <author>tc={79831770-71CA-4A62-BC6C-ED43C1B10521}</author>
    <author>tc={1BCBF987-72FC-4963-BE9A-ED386DF9832E}</author>
    <author>tc={824F53AF-02B6-4F3C-B331-4392C9E5B79F}</author>
    <author>tc={D9049228-4BDB-4FBF-9346-29DD16BE75B6}</author>
    <author>tc={98EBB74C-9880-40C0-B90A-34E6F1DD6624}</author>
    <author>tc={C6EB59B6-D72D-4BD8-B42C-00A503DB583A}</author>
    <author>tc={D989E059-457C-4542-8B56-6A868F5985F6}</author>
    <author>tc={241866C6-00DF-4259-901A-EB053F8BACAC}</author>
    <author>tc={B67823FC-46C9-4325-8569-15AC24560A2C}</author>
    <author>tc={02C3C040-112C-4E02-BF25-A215EC8ACCFA}</author>
    <author>tc={A3784484-3033-4283-BBD1-F8E447694E81}</author>
    <author>tc={18F6A8DF-3046-45A7-AF80-4290C25814DE}</author>
    <author>tc={9B6195F4-E3CD-43B8-A43F-4AF6DF5B0967}</author>
    <author>tc={65C97A3E-4997-4094-984C-D6817AD3913C}</author>
  </authors>
  <commentList>
    <comment ref="E4" authorId="0" shapeId="0" xr:uid="{3BE33DE7-0EA7-4EB9-BD89-DFA6D0F169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disponiel pra compensar</t>
      </text>
    </comment>
    <comment ref="H5" authorId="1" shapeId="0" xr:uid="{7B946D21-7040-4C5A-839F-F37DD247D4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16.856,11 no proximo boleto- percentual e 15e não 20</t>
      </text>
    </comment>
    <comment ref="D6" authorId="2" shapeId="0" xr:uid="{917F9E50-2839-45F3-842D-73554D903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 maior c cobrança  8668,10</t>
      </text>
    </comment>
    <comment ref="E6" authorId="3" shapeId="0" xr:uid="{79831770-71CA-4A62-BC6C-ED43C1B105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Cobranla a maior 21262,29</t>
      </text>
    </comment>
    <comment ref="H6" authorId="4" shapeId="0" xr:uid="{1BCBF987-72FC-4963-BE9A-ED386DF983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proximo  boleto de 175,49 e incluir valor honorario compensa pis e cofins 102025</t>
      </text>
    </comment>
    <comment ref="D7" authorId="5" shapeId="0" xr:uid="{824F53AF-02B6-4F3C-B331-4392C9E5B7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</t>
      </text>
    </comment>
    <comment ref="E7" authorId="6" shapeId="0" xr:uid="{D9049228-4BDB-4FBF-9346-29DD16BE75B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SEM JUROS 57512,77
</t>
      </text>
    </comment>
    <comment ref="H7" authorId="7" shapeId="0" xr:uid="{98EBB74C-9880-40C0-B90A-34E6F1DD66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PROXIMO BOLETO 1195,94- VALOR CORRETO 16263,57</t>
      </text>
    </comment>
    <comment ref="H9" authorId="8" shapeId="0" xr:uid="{C6EB59B6-D72D-4BD8-B42C-00A503DB58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15%</t>
      </text>
    </comment>
    <comment ref="D11" authorId="9" shapeId="0" xr:uid="{D989E059-457C-4542-8B56-6A868F5985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pis e cofins</t>
      </text>
    </comment>
    <comment ref="E11" authorId="10" shapeId="0" xr:uid="{241866C6-00DF-4259-901A-EB053F8BAC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pagou as guias e descontou honorário, deduzir do proximo boleto 8.312,67
</t>
      </text>
    </comment>
    <comment ref="H11" authorId="11" shapeId="0" xr:uid="{B67823FC-46C9-4325-8569-15AC24560A2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4118,25 proximo boleto- honorario devria ser 8312,67- empresa pagiu irpj e csll </t>
      </text>
    </comment>
    <comment ref="C13" authorId="12" shapeId="0" xr:uid="{02C3C040-112C-4E02-BF25-A215EC8ACC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em 18/12</t>
      </text>
    </comment>
    <comment ref="E13" authorId="13" shapeId="0" xr:uid="{A3784484-3033-4283-BBD1-F8E447694E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 unica</t>
      </text>
    </comment>
    <comment ref="H14" authorId="14" shapeId="0" xr:uid="{18F6A8DF-3046-45A7-AF80-4290C25814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Complemento bolto mês que vem 2815,40</t>
      </text>
    </comment>
    <comment ref="C16" authorId="15" shapeId="0" xr:uid="{9B6195F4-E3CD-43B8-A43F-4AF6DF5B09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valor com dp</t>
      </text>
    </comment>
    <comment ref="D16" authorId="16" shapeId="0" xr:uid="{65C97A3E-4997-4094-984C-D6817AD39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tc={E283F29C-9B8B-4DD9-ABAF-DC69B6E1E455}</author>
    <author>tc={8A2D78A0-DB18-476E-B916-D66655C80500}</author>
    <author>tc={48A4093B-51F6-4F09-AAC1-CFB3A46CE5BD}</author>
    <author>tc={1708DD88-BD28-4A92-8E0F-2020B05E62DC}</author>
    <author>tc={D513AF83-10FF-4AA8-96DE-D5A39D9F72B7}</author>
    <author>tc={4A07C25F-36CA-4807-B225-66809DD191F0}</author>
    <author>tc={BB2E7BE5-17C0-4CF3-9358-D2BB092C354F}</author>
    <author>tc={29A4FFCD-B588-4108-9D8E-AA545E399250}</author>
    <author>tc={C2C8CFC9-817A-4FA7-9A52-0ECB7C406D0B}</author>
    <author>tc={2C3B8984-CF37-488C-BDB4-B4CE2749E23D}</author>
    <author>tc={FD519444-88D0-4D38-8BE2-75BBE4ADECBE}</author>
    <author>tc={0E46CC11-88F2-4B40-8F7D-D40C0DF9B919}</author>
    <author>tc={6F8874D1-CAA4-4340-88F5-6704437451F6}</author>
    <author>tc={DD3F8168-8A6B-46D4-AEB1-13588FE9DC5F}</author>
    <author>tc={2C7AD858-FA45-4FBD-86D8-48F0A5B09B8D}</author>
    <author>tc={44C2A60C-4E67-4DA8-ACC6-431ABCE17983}</author>
    <author>tc={D7FD899A-567B-450B-ADC9-B859332116EF}</author>
    <author>tc={D7E38610-7C49-4F8F-9153-FE55D55798FC}</author>
    <author>tc={B5D5FF9D-A64F-498D-8FC8-E66402AD1E00}</author>
    <author>tc={7679F96B-8523-471A-94BD-698ACB632AF8}</author>
    <author>tc={408C6471-95B4-48F5-8136-4219AF5B23D3}</author>
    <author>tc={235CE347-37CE-4C65-B852-C8CDB2BAAB0A}</author>
    <author>tc={2409B152-1FF2-4ABF-A5C0-34EB8CBDAE4A}</author>
    <author>tc={4AC12DAD-C2FF-46B0-83B8-1CD86026B2A1}</author>
    <author>tc={2F8144CE-BF90-47F0-8B44-D73897071643}</author>
    <author>tc={BC6A8755-9293-4013-894B-8862C09882A8}</author>
    <author>tc={56BB423B-02E4-44D0-A5E8-B90E80AA11D9}</author>
    <author>tc={FD760A8F-7EB5-46A9-AD09-1DA9EAE4B279}</author>
    <author>tc={67C49FDA-F936-456E-A03A-61250EB17C3F}</author>
    <author>tc={91A1748B-F14E-44C3-B56D-8C01D1A86B30}</author>
    <author>tc={79EB265C-F065-4C6A-AE2F-F8E39A81F9EB}</author>
    <author>tc={3971804E-1EE7-4927-B0CE-CA23F76BB5CF}</author>
    <author>tc={3E4570E6-46D4-4D5E-B67D-FE32BFA63ED2}</author>
    <author>tc={2EB64E9B-11CA-420F-AEE2-75D52DC847D5}</author>
    <author>tc={1CCA6562-B03D-4C97-A4E5-E0A51AB1BA0F}</author>
    <author>tc={C1117894-7035-4296-958A-FD253B72B881}</author>
    <author>tc={73C66DAE-2DA9-4AFB-8687-690442438ABC}</author>
    <author>tc={ADD2449F-3D31-4BA6-AE86-4601946E7D00}</author>
    <author>tc={9F1DAFFC-4326-4BBC-9824-753835A48FB5}</author>
    <author>tc={1C4E2501-24C0-40DD-BFD6-539ABEF9BB96}</author>
    <author>tc={80500E2F-6BC4-4F09-853B-015E217F1BB1}</author>
    <author>tc={616F9D17-93A4-4FFD-83A5-C8F863A26787}</author>
    <author>tc={D2E7A2BA-8625-4CA3-ADBA-DC85C812266A}</author>
    <author>tc={F5BEB1F3-E061-4830-93C5-A4F881132986}</author>
    <author>tc={374B7508-C5A6-4B44-B13D-12780AF14B08}</author>
    <author>tc={06D3EED6-80C2-451C-9C93-C5B179F31E4F}</author>
    <author>tc={3E0CE559-75C4-432F-879D-0D08621A27E8}</author>
    <author>tc={6146F211-AAE2-4ABA-A26A-B4E3AB94BACE}</author>
  </authors>
  <commentList>
    <comment ref="E4" authorId="0" shapeId="0" xr:uid="{E283F29C-9B8B-4DD9-ABAF-DC69B6E1E4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</t>
      </text>
    </comment>
    <comment ref="H4" authorId="1" shapeId="0" xr:uid="{8A2D78A0-DB18-476E-B916-D66655C805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16.856,11 no proximo boleto- percentual e 15e não 20</t>
      </text>
    </comment>
    <comment ref="K4" authorId="2" shapeId="0" xr:uid="{48A4093B-51F6-4F09-AAC1-CFB3A46CE5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16856,11_ DIF MÊS ANTERIOR DE PERCENTUAL DE 20 PARA 15</t>
      </text>
    </comment>
    <comment ref="D5" authorId="3" shapeId="0" xr:uid="{1708DD88-BD28-4A92-8E0F-2020B05E62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 maior c cobrança  8668,10</t>
      </text>
    </comment>
    <comment ref="F5" authorId="4" shapeId="0" xr:uid="{D513AF83-10FF-4AA8-96DE-D5A39D9F72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PIS E COFINS MÊS 11/2025 NÃO COBRADO</t>
      </text>
    </comment>
    <comment ref="G5" authorId="5" shapeId="0" xr:uid="{4A07C25F-36CA-4807-B225-66809DD191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15549,49- boleto jan em fev</t>
      </text>
    </comment>
    <comment ref="H5" authorId="6" shapeId="0" xr:uid="{BB2E7BE5-17C0-4CF3-9358-D2BB092C35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proximo  boleto de 175,49 e incluir valor honorario compensa pis e cofins 102025</t>
      </text>
    </comment>
    <comment ref="K5" authorId="7" shapeId="0" xr:uid="{29A4FFCD-B588-4108-9D8E-AA545E39925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175,49( DIF MÊS ANTERIOR)
</t>
      </text>
    </comment>
    <comment ref="D6" authorId="8" shapeId="0" xr:uid="{C2C8CFC9-817A-4FA7-9A52-0ECB7C406D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6" authorId="9" shapeId="0" xr:uid="{2C3B8984-CF37-488C-BDB4-B4CE2749E2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1195,94</t>
      </text>
    </comment>
    <comment ref="K6" authorId="10" shapeId="0" xr:uid="{FD519444-88D0-4D38-8BE2-75BBE4ADEC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20.179,25, a epresa pagou irpj e csll, descontar nos proximos boletos</t>
      </text>
    </comment>
    <comment ref="E7" authorId="11" shapeId="0" xr:uid="{0E46CC11-88F2-4B40-8F7D-D40C0DF9B9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H8" authorId="12" shapeId="0" xr:uid="{6F8874D1-CAA4-4340-88F5-6704437451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15%</t>
      </text>
    </comment>
    <comment ref="D10" authorId="13" shapeId="0" xr:uid="{DD3F8168-8A6B-46D4-AEB1-13588FE9DC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10" authorId="14" shapeId="0" xr:uid="{2C7AD858-FA45-4FBD-86D8-48F0A5B09B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4118,25 proximo boleto- honorario devria ser 8312,67- empresa pagiu irpj e csll </t>
      </text>
    </comment>
    <comment ref="E12" authorId="15" shapeId="0" xr:uid="{44C2A60C-4E67-4DA8-ACC6-431ABCE179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 unica</t>
      </text>
    </comment>
    <comment ref="H13" authorId="16" shapeId="0" xr:uid="{D7FD899A-567B-450B-ADC9-B859332116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Complemento bolto mês que vem 2815,40</t>
      </text>
    </comment>
    <comment ref="K13" authorId="17" shapeId="0" xr:uid="{D7E38610-7C49-4F8F-9153-FE55D55798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2.815,40( dif mês anterior a menor)</t>
      </text>
    </comment>
    <comment ref="P13" authorId="18" shapeId="0" xr:uid="{B5D5FF9D-A64F-498D-8FC8-E66402AD1E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Exclui 12932,00 saldo dos insumos</t>
      </text>
    </comment>
    <comment ref="D15" authorId="19" shapeId="0" xr:uid="{7679F96B-8523-471A-94BD-698ACB632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15" authorId="20" shapeId="0" xr:uid="{408C6471-95B4-48F5-8136-4219AF5B23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26019,62- soma de valor de insumos</t>
      </text>
    </comment>
    <comment ref="O16" authorId="21" shapeId="0" xr:uid="{235CE347-37CE-4C65-B852-C8CDB2BAAB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33872,15- + saldo insumos que acabou</t>
      </text>
    </comment>
    <comment ref="D17" authorId="22" shapeId="0" xr:uid="{2409B152-1FF2-4ABF-A5C0-34EB8CBDAE4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 </t>
      </text>
    </comment>
    <comment ref="E17" authorId="23" shapeId="0" xr:uid="{4AC12DAD-C2FF-46B0-83B8-1CD86026B2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</t>
      </text>
    </comment>
    <comment ref="C18" authorId="24" shapeId="0" xr:uid="{2F8144CE-BF90-47F0-8B44-D73897071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Cancelar compensao 5952 e 1708 258,23 e 13,27</t>
      </text>
    </comment>
    <comment ref="O18" authorId="25" shapeId="0" xr:uid="{BC6A8755-9293-4013-894B-8862C0988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Inclui 59965,46( saldo cred icms ex da bc)</t>
      </text>
    </comment>
    <comment ref="D19" authorId="26" shapeId="0" xr:uid="{56BB423B-02E4-44D0-A5E8-B90E80AA11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19" authorId="27" shapeId="0" xr:uid="{FD760A8F-7EB5-46A9-AD09-1DA9EAE4B2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+ 2283,29 icms st da bc pis e cofins</t>
      </text>
    </comment>
    <comment ref="D20" authorId="28" shapeId="0" xr:uid="{67C49FDA-F936-456E-A03A-61250EB17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0" authorId="29" shapeId="0" xr:uid="{91A1748B-F14E-44C3-B56D-8C01D1A86B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</t>
      </text>
    </comment>
    <comment ref="O20" authorId="30" shapeId="0" xr:uid="{79EB265C-F065-4C6A-AE2F-F8E39A81F9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6( credi 444,12(insumos e 12131 ,07
icms st da bc)</t>
      </text>
    </comment>
    <comment ref="D21" authorId="31" shapeId="0" xr:uid="{3971804E-1EE7-4927-B0CE-CA23F76BB5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1" authorId="32" shapeId="0" xr:uid="{3E4570E6-46D4-4D5E-B67D-FE32BFA63E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1" authorId="33" shapeId="0" xr:uid="{2EB64E9B-11CA-420F-AEE2-75D52DC84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2166,12 saldo credi icms st da bc pis e cof</t>
      </text>
    </comment>
    <comment ref="D22" authorId="34" shapeId="0" xr:uid="{1CCA6562-B03D-4C97-A4E5-E0A51AB1B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2" authorId="35" shapeId="0" xr:uid="{C1117894-7035-4296-958A-FD253B72B88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2" authorId="36" shapeId="0" xr:uid="{73C66DAE-2DA9-4AFB-8687-690442438A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+ 4879,67( cred icms st da bc pis e cofins)</t>
      </text>
    </comment>
    <comment ref="D23" authorId="37" shapeId="0" xr:uid="{ADD2449F-3D31-4BA6-AE86-4601946E7D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3" authorId="38" shapeId="0" xr:uid="{9F1DAFFC-4326-4BBC-9824-753835A48F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3" authorId="39" shapeId="0" xr:uid="{1C4E2501-24C0-40DD-BFD6-539ABEF9BB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23459,96- + saldo icms st da base</t>
      </text>
    </comment>
    <comment ref="D24" authorId="40" shapeId="0" xr:uid="{80500E2F-6BC4-4F09-853B-015E217F1B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
</t>
      </text>
    </comment>
    <comment ref="F24" authorId="41" shapeId="0" xr:uid="{616F9D17-93A4-4FFD-83A5-C8F863A267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D25" authorId="42" shapeId="0" xr:uid="{D2E7A2BA-8625-4CA3-ADBA-DC85C81226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5" authorId="43" shapeId="0" xr:uid="{F5BEB1F3-E061-4830-93C5-A4F8811329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  <comment ref="D26" authorId="44" shapeId="0" xr:uid="{374B7508-C5A6-4B44-B13D-12780AF14B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6" authorId="45" shapeId="0" xr:uid="{06D3EED6-80C2-451C-9C93-C5B179F31E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 fiscal</t>
      </text>
    </comment>
    <comment ref="D27" authorId="46" shapeId="0" xr:uid="{3E0CE559-75C4-432F-879D-0D08621A27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7" authorId="47" shapeId="0" xr:uid="{6146F211-AAE2-4ABA-A26A-B4E3AB94BA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tc={DDB274CE-9139-4FB2-BA11-C8EC568CDB08}</author>
    <author>tc={96060804-2E37-4A26-B710-D5A081C071E5}</author>
    <author>tc={440376EB-487D-401F-9ECF-492D01BBD6A0}</author>
    <author>tc={074F8C8F-0F0E-40F3-B392-EA9F0BED04E3}</author>
    <author>tc={37CD2A5F-3E12-4C0C-9D76-5A5C6CE4FE28}</author>
    <author>tc={DFF4B242-84C8-49AB-8DFC-9D2F3250F1FC}</author>
    <author>tc={6345AF9A-179E-4A74-9C83-0A2F43C38728}</author>
    <author>tc={1FAB33DA-AB00-4F8A-B46A-952314B162F7}</author>
    <author>tc={601F12B7-2F09-4BC0-915D-B6652BDED3C9}</author>
    <author>tc={837E36BE-F4C1-4F6E-A305-CDA329B6BEAD}</author>
    <author>tc={6CC4208A-26DC-46F5-8E8C-9A06BE3BBA8A}</author>
    <author>tc={FEDB014F-30D7-4755-8780-2C70ADEFADF5}</author>
    <author>tc={15FC531A-EDFB-437B-AB9B-BD8DC2B4279D}</author>
    <author>tc={2E34A5B3-6E65-4C8C-A60C-03D76196E7E1}</author>
    <author>tc={E78A013E-68FC-489A-9DCA-667718D465F3}</author>
    <author>tc={63986E3D-40F0-4EB1-B14C-B21929A8E66E}</author>
    <author>tc={79543627-AD62-461D-B579-A286B0C218E9}</author>
    <author>tc={692EFB61-98EB-4BBF-831D-52108C2ABB5C}</author>
    <author>tc={029A3E1B-12B1-43A2-AAB7-CEC3E820B02F}</author>
    <author>tc={D4727F3E-B412-4FBE-8E79-E53466FC1ABB}</author>
    <author>tc={1336513D-67F7-4E2C-ACB2-9B96E0D92598}</author>
    <author>tc={7962ECC4-CA47-4213-8BAB-DDC04ECF936D}</author>
    <author>tc={D4EDD05F-5A25-462D-A952-761A54E5BD84}</author>
    <author>tc={C939F0AF-3BD2-459E-922D-A334DEF53B69}</author>
    <author>tc={A8B6BC87-D862-4139-99BA-AFA4B683738D}</author>
    <author>tc={5F720A40-7C6B-474C-81C6-866A9949A5B9}</author>
    <author>tc={1D2625BA-6824-48D2-8AC5-97B8744108EB}</author>
    <author>tc={0B26FDB4-4643-4AEE-B604-9AACAE301290}</author>
    <author>tc={5E05BF3A-F403-465F-9AC2-C2C7EBC0BF1D}</author>
    <author>tc={01AAEE77-C59C-4699-B755-C4BD2E07116F}</author>
    <author>tc={8E0E064F-F924-4587-A78F-4513FC8A52BC}</author>
    <author>tc={5030938A-A15F-4577-AA4B-28CA8F05C7A2}</author>
    <author>tc={8F6720F7-6501-42CA-86A8-4E2A0F806C52}</author>
    <author>tc={D2153428-1004-48F1-9B73-61C794CC796D}</author>
    <author>tc={AB607D19-9AC7-425D-9E23-C6BB2DEB33E6}</author>
    <author>tc={B3916922-2B3F-41E5-AED8-676A672E0D84}</author>
    <author>tc={3D5CB28C-5669-49E4-8EC4-A0712EA71087}</author>
    <author>tc={BFD81DB2-7129-4690-AEFE-5A432125AE1C}</author>
    <author>tc={F35A8DF3-7B3F-475D-B019-1376937D50C0}</author>
    <author>tc={359B443D-FF9D-4680-A5ED-3E1895AE3C48}</author>
  </authors>
  <commentList>
    <comment ref="C4" authorId="0" shapeId="0" xr:uid="{DDB274CE-9139-4FB2-BA11-C8EC568CDB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781,97 5952 e 220,99 1708</t>
      </text>
    </comment>
    <comment ref="H4" authorId="1" shapeId="0" xr:uid="{96060804-2E37-4A26-B710-D5A081C071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16.856,11 no proximo boleto- percentual e 15e não 20</t>
      </text>
    </comment>
    <comment ref="D5" authorId="2" shapeId="0" xr:uid="{440376EB-487D-401F-9ECF-492D01BBD6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 maior c cobrança  8668,10</t>
      </text>
    </comment>
    <comment ref="G5" authorId="3" shapeId="0" xr:uid="{074F8C8F-0F0E-40F3-B392-EA9F0BED04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15549,49- boleto jan em fev</t>
      </text>
    </comment>
    <comment ref="H5" authorId="4" shapeId="0" xr:uid="{37CD2A5F-3E12-4C0C-9D76-5A5C6CE4FE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proximo  boleto de 175,49 e incluir valor honorario compensa pis e cofins 102025</t>
      </text>
    </comment>
    <comment ref="D6" authorId="5" shapeId="0" xr:uid="{DFF4B242-84C8-49AB-8DFC-9D2F3250F1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6" authorId="6" shapeId="0" xr:uid="{6345AF9A-179E-4A74-9C83-0A2F43C387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1195,94</t>
      </text>
    </comment>
    <comment ref="K6" authorId="7" shapeId="0" xr:uid="{1FAB33DA-AB00-4F8A-B46A-952314B162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20.179,25, a epresa pagou irpj e csll, descontar nos proximos boletos</t>
      </text>
    </comment>
    <comment ref="C7" authorId="8" shapeId="0" xr:uid="{601F12B7-2F09-4BC0-915D-B6652BDED3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113,98 e 1708 216,64</t>
      </text>
    </comment>
    <comment ref="C8" authorId="9" shapeId="0" xr:uid="{837E36BE-F4C1-4F6E-A305-CDA329B6BE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9,00 1708 E 5952 331,55- anterio inss 76955,41( errado) </t>
      </text>
    </comment>
    <comment ref="H8" authorId="10" shapeId="0" xr:uid="{6CC4208A-26DC-46F5-8E8C-9A06BE3BBA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15%- anterior 18471,03- proximo boleto acrescentar valor de 1475,88</t>
      </text>
    </comment>
    <comment ref="C9" authorId="11" shapeId="0" xr:uid="{FEDB014F-30D7-4755-8780-2C70ADEFAD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364,36 5952 e 1708 64,80</t>
      </text>
    </comment>
    <comment ref="D10" authorId="12" shapeId="0" xr:uid="{15FC531A-EDFB-437B-AB9B-BD8DC2B427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10" authorId="13" shapeId="0" xr:uid="{2E34A5B3-6E65-4C8C-A60C-03D76196E7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4118,25 proximo boleto- honorario devria ser 8312,67- empresa pagiu irpj e csll </t>
      </text>
    </comment>
    <comment ref="C13" authorId="14" shapeId="0" xr:uid="{E78A013E-68FC-489A-9DCA-667718D465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219,33 e 3208 6457,84</t>
      </text>
    </comment>
    <comment ref="H13" authorId="15" shapeId="0" xr:uid="{63986E3D-40F0-4EB1-B14C-B21929A8E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Complemento bolto mês que vem 2815,40</t>
      </text>
    </comment>
    <comment ref="K13" authorId="16" shapeId="0" xr:uid="{79543627-AD62-461D-B579-A286B0C218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2.815,40( dif mês anterior a menor)</t>
      </text>
    </comment>
    <comment ref="P13" authorId="17" shapeId="0" xr:uid="{692EFB61-98EB-4BBF-831D-52108C2AB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Exclui 12932,00 saldo dos insumos</t>
      </text>
    </comment>
    <comment ref="D15" authorId="18" shapeId="0" xr:uid="{029A3E1B-12B1-43A2-AAB7-CEC3E820B0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15" authorId="19" shapeId="0" xr:uid="{D4727F3E-B412-4FBE-8E79-E53466FC1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26019,62- soma de valor de insumos</t>
      </text>
    </comment>
    <comment ref="O16" authorId="20" shapeId="0" xr:uid="{1336513D-67F7-4E2C-ACB2-9B96E0D925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33872,15- + saldo insumos que acabou</t>
      </text>
    </comment>
    <comment ref="C18" authorId="21" shapeId="0" xr:uid="{7962ECC4-CA47-4213-8BAB-DDC04ECF93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Cancelar compensao 5952 e 1708 258,23 e 13,27</t>
      </text>
    </comment>
    <comment ref="O18" authorId="22" shapeId="0" xr:uid="{D4EDD05F-5A25-462D-A952-761A54E5BD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Inclui 59965,46( saldo cred icms ex da bc)</t>
      </text>
    </comment>
    <comment ref="C19" authorId="23" shapeId="0" xr:uid="{C939F0AF-3BD2-459E-922D-A334DEF53B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1708 17,45 5952 156,86 3208 1674,29</t>
      </text>
    </comment>
    <comment ref="O19" authorId="24" shapeId="0" xr:uid="{A8B6BC87-D862-4139-99BA-AFA4B68373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+ 2283,29 icms st da bc pis e cofins</t>
      </text>
    </comment>
    <comment ref="C20" authorId="25" shapeId="0" xr:uid="{5F720A40-7C6B-474C-81C6-866A9949A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243,13 E 1708 15,07</t>
      </text>
    </comment>
    <comment ref="D20" authorId="26" shapeId="0" xr:uid="{1D2625BA-6824-48D2-8AC5-97B8744108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20" authorId="27" shapeId="0" xr:uid="{0B26FDB4-4643-4AEE-B604-9AACAE3012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6( credi 444,12(insumos e 12131 ,07
icms st da bc)</t>
      </text>
    </comment>
    <comment ref="C21" authorId="28" shapeId="0" xr:uid="{5E05BF3A-F403-465F-9AC2-C2C7EBC0B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24,22 1708 E 5952 185,37</t>
      </text>
    </comment>
    <comment ref="D21" authorId="29" shapeId="0" xr:uid="{01AAEE77-C59C-4699-B755-C4BD2E0711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21" authorId="30" shapeId="0" xr:uid="{8E0E064F-F924-4587-A78F-4513FC8A52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2166,12 saldo credi icms st da bc pis e cof</t>
      </text>
    </comment>
    <comment ref="C22" authorId="31" shapeId="0" xr:uid="{5030938A-A15F-4577-AA4B-28CA8F05C7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1708 20,25 5952 169,88</t>
      </text>
    </comment>
    <comment ref="D22" authorId="32" shapeId="0" xr:uid="{8F6720F7-6501-42CA-86A8-4E2A0F806C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22" authorId="33" shapeId="0" xr:uid="{D2153428-1004-48F1-9B73-61C794CC79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+ 4879,67( cred icms st da bc pis e cofins)</t>
      </text>
    </comment>
    <comment ref="C23" authorId="34" shapeId="0" xr:uid="{AB607D19-9AC7-425D-9E23-C6BB2DEB33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196,69 1708 26,65 3208 936,93</t>
      </text>
    </comment>
    <comment ref="O23" authorId="35" shapeId="0" xr:uid="{B3916922-2B3F-41E5-AED8-676A672E0D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23459,96- + saldo icms st da base</t>
      </text>
    </comment>
    <comment ref="C24" authorId="36" shapeId="0" xr:uid="{3D5CB28C-5669-49E4-8EC4-A0712EA710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104,13 3208 1674,66
</t>
      </text>
    </comment>
    <comment ref="D24" authorId="37" shapeId="0" xr:uid="{BFD81DB2-7129-4690-AEFE-5A432125AE1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
</t>
      </text>
    </comment>
    <comment ref="D25" authorId="38" shapeId="0" xr:uid="{F35A8DF3-7B3F-475D-B019-1376937D50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7" authorId="39" shapeId="0" xr:uid="{359B443D-FF9D-4680-A5ED-3E1895AE3C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tc={801C9260-9EB2-4000-9DBE-EE40AE0A0F76}</author>
    <author>tc={6FC3CE60-CBB1-4AC9-9DBD-90FFE5A0274B}</author>
    <author>tc={45BCC1BA-8240-4671-B5A5-171E99502FD2}</author>
    <author>tc={74FB9324-9EDF-46C6-B46B-0CE631337453}</author>
    <author>tc={3221D3BB-D860-4329-BA7F-E455F763512C}</author>
    <author>tc={5A2A4961-123B-4240-882D-19B8B2B135A1}</author>
    <author>tc={450BACC0-BD2E-44F6-B73F-87794BDC1844}</author>
    <author>tc={7BD0354B-9CF3-4739-8178-831AD46CF393}</author>
    <author>tc={01D1C1D8-0373-47ED-9944-12594579D00E}</author>
    <author>tc={E820E6FB-E389-4C1A-BD1A-A407450F8A65}</author>
    <author>tc={A3C851C4-B831-420F-8204-7703B193C53A}</author>
    <author>tc={D938E4D6-44DB-421C-9393-B1356D9A3125}</author>
    <author>tc={404CF8E5-EDB7-4E10-9E2C-1CEC92582E2D}</author>
    <author>tc={1E1F70B6-EDA6-4D0C-A500-528385D9BFC1}</author>
    <author>tc={24586B08-BFB5-4C57-B44C-7AD66255D182}</author>
    <author>tc={C15F5C87-C700-4F77-9A6E-45E856A52844}</author>
    <author>tc={E6869FCE-8D65-4458-8573-C5694CBDB97F}</author>
    <author>tc={6F8F4052-F73D-42CE-AF3A-9C8CB3AA7305}</author>
    <author>tc={3FC0CCC8-DD63-4040-AF48-B32DDC2DC295}</author>
    <author>tc={7EA29368-8AE3-4641-87A0-9E5E6710A2A3}</author>
    <author>tc={CFE5F822-84B2-4568-93D8-1115F9993DE0}</author>
    <author>tc={40100250-F356-4F47-89C1-729C19C5056D}</author>
    <author>tc={678E07A6-7861-4E8E-A283-78BBC9984B90}</author>
    <author>tc={076DC52E-4E81-4F11-BD59-442EE4C03D94}</author>
    <author>tc={730914B6-710A-4F60-BD24-340D702384C3}</author>
    <author>tc={28E89730-D8CF-464A-913E-CBFC1E112E66}</author>
    <author>tc={FE219A6B-57E2-48AD-8AD2-C49F98D73503}</author>
    <author>tc={D38E3FBA-7079-4E42-B226-0E04D6D109D0}</author>
    <author>tc={D39CD56E-4767-4C04-B060-CA83A74D91A2}</author>
    <author>tc={0A0EF5F5-1613-49C4-AD42-ED3D81E44D13}</author>
    <author>tc={50083DD1-6C1E-48A3-9DD9-677004AF1725}</author>
    <author>tc={9C3AF714-9B3C-4C06-9482-8287D65E63B6}</author>
    <author>tc={EEF1B2C2-BF88-462B-9ACF-5CB0CCB20FD3}</author>
    <author>tc={44D315E1-7EFB-4B9B-AF69-02AAF5E08CC8}</author>
    <author>tc={21448EA9-39B1-4D79-B87D-FA8E9FD9DB28}</author>
    <author>tc={898610C4-4610-4245-980E-68140D24DFB3}</author>
    <author>tc={87F9B7B2-4EFB-47E3-B120-B05FAAFF3A46}</author>
    <author>tc={14A4B5D0-A9B8-414F-A8EF-BEB30EA9420D}</author>
    <author>tc={E4855028-1E4E-4722-8713-F6DFF1D55314}</author>
    <author>tc={FFA702BB-3598-431B-9D15-435810B2B35C}</author>
    <author>tc={54EE90BB-87ED-4CE6-8111-322003A6D9C8}</author>
    <author>tc={6570BE30-C91F-496F-AD1E-D86228BB0274}</author>
    <author>tc={4478575F-77BF-4384-834C-310CF8B2D5DB}</author>
    <author>tc={414F2B75-3534-4CAF-8309-92A0766D5813}</author>
    <author>tc={795720FF-9176-498E-BF64-B36DA934E5DA}</author>
    <author>tc={BE95D64A-B26F-4555-9531-80974C497C63}</author>
    <author>tc={37B0559A-ECD3-4B0F-8F7F-6C8F988F02AA}</author>
    <author>tc={B3AAC4D8-0FD9-449B-BDB3-A4A5144A1025}</author>
    <author>tc={8B2FE312-A614-432B-B7E7-131C45CD904E}</author>
    <author>tc={38210418-6BB3-4B7E-B750-F9E1F1FA37E8}</author>
    <author>tc={F02264B7-BD0D-4CA8-8967-4C8ECD4265AF}</author>
    <author>tc={A8590EC8-5BA2-4E02-84BF-64D16BB71D41}</author>
    <author>tc={CA66ED5B-4B2D-47DC-9C52-C35F11489FDF}</author>
  </authors>
  <commentList>
    <comment ref="C4" authorId="0" shapeId="0" xr:uid="{801C9260-9EB2-4000-9DBE-EE40AE0A0F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781,97 5952 e 220,99 1708</t>
      </text>
    </comment>
    <comment ref="E4" authorId="1" shapeId="0" xr:uid="{6FC3CE60-CBB1-4AC9-9DBD-90FFE5A027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</t>
      </text>
    </comment>
    <comment ref="H4" authorId="2" shapeId="0" xr:uid="{45BCC1BA-8240-4671-B5A5-171E99502F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16.856,11 no proximo boleto- percentual e 15e não 20</t>
      </text>
    </comment>
    <comment ref="D5" authorId="3" shapeId="0" xr:uid="{74FB9324-9EDF-46C6-B46B-0CE6313374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 maior c cobrança  8668,10</t>
      </text>
    </comment>
    <comment ref="F5" authorId="4" shapeId="0" xr:uid="{3221D3BB-D860-4329-BA7F-E455F76351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PIS E COFINS MÊS 11/2025 NÃO COBRADO</t>
      </text>
    </comment>
    <comment ref="G5" authorId="5" shapeId="0" xr:uid="{5A2A4961-123B-4240-882D-19B8B2B135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15549,49- boleto jan em fev</t>
      </text>
    </comment>
    <comment ref="H5" authorId="6" shapeId="0" xr:uid="{450BACC0-BD2E-44F6-B73F-87794BDC1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proximo  boleto de 175,49 e incluir valor honorario compensa pis e cofins 102025</t>
      </text>
    </comment>
    <comment ref="D6" authorId="7" shapeId="0" xr:uid="{7BD0354B-9CF3-4739-8178-831AD46CF3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6" authorId="8" shapeId="0" xr:uid="{01D1C1D8-0373-47ED-9944-12594579D0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1195,94</t>
      </text>
    </comment>
    <comment ref="K6" authorId="9" shapeId="0" xr:uid="{E820E6FB-E389-4C1A-BD1A-A407450F8A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20.179,25, a epresa pagou irpj e csll, descontar nos proximos boletos</t>
      </text>
    </comment>
    <comment ref="C7" authorId="10" shapeId="0" xr:uid="{A3C851C4-B831-420F-8204-7703B193C5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113,98 e 1708 216,64</t>
      </text>
    </comment>
    <comment ref="E7" authorId="11" shapeId="0" xr:uid="{D938E4D6-44DB-421C-9393-B1356D9A31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C8" authorId="12" shapeId="0" xr:uid="{404CF8E5-EDB7-4E10-9E2C-1CEC92582E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9,00 1708 E 5952 331,55- anterio inss 76955,41( errado) </t>
      </text>
    </comment>
    <comment ref="H8" authorId="13" shapeId="0" xr:uid="{1E1F70B6-EDA6-4D0C-A500-528385D9BF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15%- anterior 18471,03- proximo boleto acrescentar valor de 1475,88</t>
      </text>
    </comment>
    <comment ref="C9" authorId="14" shapeId="0" xr:uid="{24586B08-BFB5-4C57-B44C-7AD66255D1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364,36 5952 e 1708 64,80</t>
      </text>
    </comment>
    <comment ref="D10" authorId="15" shapeId="0" xr:uid="{C15F5C87-C700-4F77-9A6E-45E856A528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H10" authorId="16" shapeId="0" xr:uid="{E6869FCE-8D65-4458-8573-C5694CBDB9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4118,25 proximo boleto- honorario devria ser 8312,67- empresa pagiu irpj e csll </t>
      </text>
    </comment>
    <comment ref="E12" authorId="17" shapeId="0" xr:uid="{6F8F4052-F73D-42CE-AF3A-9C8CB3AA73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 unica</t>
      </text>
    </comment>
    <comment ref="C13" authorId="18" shapeId="0" xr:uid="{3FC0CCC8-DD63-4040-AF48-B32DDC2DC2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219,33 e 3208 6457,84</t>
      </text>
    </comment>
    <comment ref="H13" authorId="19" shapeId="0" xr:uid="{7EA29368-8AE3-4641-87A0-9E5E6710A2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Complemento bolto mês que vem 2815,40</t>
      </text>
    </comment>
    <comment ref="K13" authorId="20" shapeId="0" xr:uid="{CFE5F822-84B2-4568-93D8-1115F9993D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2.815,40( dif mês anterior a menor)</t>
      </text>
    </comment>
    <comment ref="P13" authorId="21" shapeId="0" xr:uid="{40100250-F356-4F47-89C1-729C19C505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Exclui 12932,00 saldo dos insumos</t>
      </text>
    </comment>
    <comment ref="D15" authorId="22" shapeId="0" xr:uid="{678E07A6-7861-4E8E-A283-78BBC9984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O15" authorId="23" shapeId="0" xr:uid="{076DC52E-4E81-4F11-BD59-442EE4C03D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26019,62- soma de valor de insumos</t>
      </text>
    </comment>
    <comment ref="O16" authorId="24" shapeId="0" xr:uid="{730914B6-710A-4F60-BD24-340D702384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33872,15- + saldo insumos que acabou</t>
      </text>
    </comment>
    <comment ref="E17" authorId="25" shapeId="0" xr:uid="{28E89730-D8CF-464A-913E-CBFC1E112E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</t>
      </text>
    </comment>
    <comment ref="C18" authorId="26" shapeId="0" xr:uid="{FE219A6B-57E2-48AD-8AD2-C49F98D735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Cancelar compensao 5952 e 1708 258,23 e 13,27</t>
      </text>
    </comment>
    <comment ref="O18" authorId="27" shapeId="0" xr:uid="{D38E3FBA-7079-4E42-B226-0E04D6D109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Inclui 59965,46( saldo cred icms ex da bc)</t>
      </text>
    </comment>
    <comment ref="C19" authorId="28" shapeId="0" xr:uid="{D39CD56E-4767-4C04-B060-CA83A74D91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1708 17,45 5952 156,86 3208 1674,29</t>
      </text>
    </comment>
    <comment ref="O19" authorId="29" shapeId="0" xr:uid="{0A0EF5F5-1613-49C4-AD42-ED3D81E44D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+ 2283,29 icms st da bc pis e cofins</t>
      </text>
    </comment>
    <comment ref="C20" authorId="30" shapeId="0" xr:uid="{50083DD1-6C1E-48A3-9DD9-677004AF17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243,13 E 1708 15,07</t>
      </text>
    </comment>
    <comment ref="D20" authorId="31" shapeId="0" xr:uid="{9C3AF714-9B3C-4C06-9482-8287D65E63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0" authorId="32" shapeId="0" xr:uid="{EEF1B2C2-BF88-462B-9ACF-5CB0CCB20F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</t>
      </text>
    </comment>
    <comment ref="O20" authorId="33" shapeId="0" xr:uid="{44D315E1-7EFB-4B9B-AF69-02AAF5E08C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6( credi 444,12(insumos e 12131 ,07
icms st da bc)</t>
      </text>
    </comment>
    <comment ref="C21" authorId="34" shapeId="0" xr:uid="{21448EA9-39B1-4D79-B87D-FA8E9FD9DB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24,22 1708 E 5952 185,37</t>
      </text>
    </comment>
    <comment ref="D21" authorId="35" shapeId="0" xr:uid="{898610C4-4610-4245-980E-68140D24DF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1" authorId="36" shapeId="0" xr:uid="{87F9B7B2-4EFB-47E3-B120-B05FAAFF3A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1" authorId="37" shapeId="0" xr:uid="{14A4B5D0-A9B8-414F-A8EF-BEB30EA942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2166,12 saldo credi icms st da bc pis e cof</t>
      </text>
    </comment>
    <comment ref="C22" authorId="38" shapeId="0" xr:uid="{E4855028-1E4E-4722-8713-F6DFF1D553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1708 20,25 5952 169,88</t>
      </text>
    </comment>
    <comment ref="D22" authorId="39" shapeId="0" xr:uid="{FFA702BB-3598-431B-9D15-435810B2B3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2" authorId="40" shapeId="0" xr:uid="{54EE90BB-87ED-4CE6-8111-322003A6D9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2" authorId="41" shapeId="0" xr:uid="{6570BE30-C91F-496F-AD1E-D86228BB02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+ 4879,67( cred icms st da bc pis e cofins)</t>
      </text>
    </comment>
    <comment ref="C23" authorId="42" shapeId="0" xr:uid="{4478575F-77BF-4384-834C-310CF8B2D5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196,69 1708 26,65 3208 936,93</t>
      </text>
    </comment>
    <comment ref="F23" authorId="43" shapeId="0" xr:uid="{414F2B75-3534-4CAF-8309-92A0766D58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O23" authorId="44" shapeId="0" xr:uid="{795720FF-9176-498E-BF64-B36DA934E5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23459,96- + saldo icms st da base</t>
      </text>
    </comment>
    <comment ref="C24" authorId="45" shapeId="0" xr:uid="{BE95D64A-B26F-4555-9531-80974C497C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5952 104,13 3208 1674,66
</t>
      </text>
    </comment>
    <comment ref="D24" authorId="46" shapeId="0" xr:uid="{37B0559A-ECD3-4B0F-8F7F-6C8F988F02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
</t>
      </text>
    </comment>
    <comment ref="F24" authorId="47" shapeId="0" xr:uid="{B3AAC4D8-0FD9-449B-BDB3-A4A5144A10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D25" authorId="48" shapeId="0" xr:uid="{8B2FE312-A614-432B-B7E7-131C45CD90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5" authorId="49" shapeId="0" xr:uid="{38210418-6BB3-4B7E-B750-F9E1F1FA37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  <comment ref="E26" authorId="50" shapeId="0" xr:uid="{F02264B7-BD0D-4CA8-8967-4C8ECD4265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 fiscal</t>
      </text>
    </comment>
    <comment ref="D27" authorId="51" shapeId="0" xr:uid="{A8590EC8-5BA2-4E02-84BF-64D16BB71D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7" authorId="52" shapeId="0" xr:uid="{CA66ED5B-4B2D-47DC-9C52-C35F11489F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tc={CFC7ED7E-468E-4DE4-9012-59490A4C5E90}</author>
    <author>tc={8DDC8EF0-2848-4AB1-B322-E83D4D3D0055}</author>
    <author>tc={FE65592D-E56D-4F8A-86E7-6238F4906965}</author>
    <author>tc={4F3B8B79-242A-40F4-88EE-944193F032F5}</author>
    <author>tc={C262904A-553C-494D-9189-A0114EA07DAB}</author>
    <author>tc={7623495D-A115-4265-888A-65A43126555D}</author>
    <author>tc={2DE5EF2C-36F0-4DB2-AA10-881F0BB28EF7}</author>
    <author>tc={41B99D79-1E24-44AB-8EC7-34CC1B8AFCA5}</author>
    <author>tc={9348345F-0CAD-4EC1-94C3-160BE901FE57}</author>
    <author>tc={D600315F-1DCA-44DE-A7CD-F70D8537402C}</author>
    <author>tc={4EDF9074-EF45-4B52-9E24-9BC4BE817C4D}</author>
    <author>tc={023D31FA-0328-439B-95CE-E420180AF5DE}</author>
    <author>tc={0D5FE228-D669-4080-B456-957CCABC28C5}</author>
    <author>tc={B3D7F549-7814-481F-85B2-165940A5DA17}</author>
    <author>tc={B10C19DA-108A-4D54-83BB-4D1E5743876C}</author>
    <author>tc={0E1192FE-67B1-42AC-812D-3239EB643E66}</author>
    <author>tc={80898399-69EE-4A63-81C4-8E77AD52A6DA}</author>
    <author>tc={144B6046-0C8F-4550-A81B-042CD6BE5A91}</author>
    <author>tc={28C38761-E7C1-4720-9D48-026B950B7FC2}</author>
    <author>tc={3FF9ED42-E4D9-4B89-88B9-DC85584C6862}</author>
    <author>tc={1867D1A3-048E-499E-A509-2328D88380AC}</author>
    <author>tc={D2340ACD-A05A-4C65-93B2-8A222B588782}</author>
    <author>tc={BF5DE5CB-6711-4D09-9693-7901927EE190}</author>
    <author>tc={31257050-0AB9-4728-9CA8-2A1937C9F7EC}</author>
    <author>tc={6A986DF6-E0EA-440C-BBE1-6FB4A4612056}</author>
    <author>tc={20A15324-BB98-4606-BD7B-AF09647D6648}</author>
    <author>tc={F972741E-208F-4907-B567-4D8D5E6AC2D8}</author>
    <author>tc={E10EC147-825F-498D-9CCE-7991F886611C}</author>
  </authors>
  <commentList>
    <comment ref="D6" authorId="0" shapeId="0" xr:uid="{CFC7ED7E-468E-4DE4-9012-59490A4C5E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8" authorId="1" shapeId="0" xr:uid="{8DDC8EF0-2848-4AB1-B322-E83D4D3D00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D10" authorId="2" shapeId="0" xr:uid="{FE65592D-E56D-4F8A-86E7-6238F49069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C11" authorId="3" shapeId="0" xr:uid="{4F3B8B79-242A-40F4-88EE-944193F032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11" authorId="4" shapeId="0" xr:uid="{C262904A-553C-494D-9189-A0114EA07D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11" authorId="5" shapeId="0" xr:uid="{7623495D-A115-4265-888A-65A4312655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C17" authorId="6" shapeId="0" xr:uid="{2DE5EF2C-36F0-4DB2-AA10-881F0BB28E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17" authorId="7" shapeId="0" xr:uid="{41B99D79-1E24-44AB-8EC7-34CC1B8AFC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17" authorId="8" shapeId="0" xr:uid="{9348345F-0CAD-4EC1-94C3-160BE901FE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19" authorId="9" shapeId="0" xr:uid="{D600315F-1DCA-44DE-A7CD-F70D853740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19" authorId="10" shapeId="0" xr:uid="{4EDF9074-EF45-4B52-9E24-9BC4BE817C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0" authorId="11" shapeId="0" xr:uid="{023D31FA-0328-439B-95CE-E420180AF5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1" authorId="12" shapeId="0" xr:uid="{0D5FE228-D669-4080-B456-957CCABC28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2" authorId="13" shapeId="0" xr:uid="{B3D7F549-7814-481F-85B2-165940A5DA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2" authorId="14" shapeId="0" xr:uid="{B10C19DA-108A-4D54-83BB-4D1E574387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3" authorId="15" shapeId="0" xr:uid="{0E1192FE-67B1-42AC-812D-3239EB643E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4" authorId="16" shapeId="0" xr:uid="{80898399-69EE-4A63-81C4-8E77AD52A6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5" authorId="17" shapeId="0" xr:uid="{144B6046-0C8F-4550-A81B-042CD6BE5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D26" authorId="18" shapeId="0" xr:uid="{28C38761-E7C1-4720-9D48-026B950B7F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6" authorId="19" shapeId="0" xr:uid="{3FF9ED42-E4D9-4B89-88B9-DC85584C68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D27" authorId="20" shapeId="0" xr:uid="{1867D1A3-048E-499E-A509-2328D88380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N28" authorId="21" shapeId="0" xr:uid="{D2340ACD-A05A-4C65-93B2-8A222B588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8795,54 credito antigo</t>
      </text>
    </comment>
    <comment ref="D30" authorId="22" shapeId="0" xr:uid="{BF5DE5CB-6711-4D09-9693-7901927EE1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quis compensar
</t>
      </text>
    </comment>
    <comment ref="D31" authorId="23" shapeId="0" xr:uid="{31257050-0AB9-4728-9CA8-2A1937C9F7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quis compensar
</t>
      </text>
    </comment>
    <comment ref="E32" authorId="24" shapeId="0" xr:uid="{6A986DF6-E0EA-440C-BBE1-6FB4A46120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E34" authorId="25" shapeId="0" xr:uid="{20A15324-BB98-4606-BD7B-AF09647D66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D38" authorId="26" shapeId="0" xr:uid="{F972741E-208F-4907-B567-4D8D5E6AC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compensar</t>
      </text>
    </comment>
    <comment ref="D39" authorId="27" shapeId="0" xr:uid="{E10EC147-825F-498D-9CCE-7991F88661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compensar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tc={0569E5B3-6E18-4BD6-8582-A724B24CF01D}</author>
  </authors>
  <commentList>
    <comment ref="E17" authorId="0" shapeId="0" xr:uid="{0569E5B3-6E18-4BD6-8582-A724B24CF0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tc={F9415387-C9E9-40A4-AF94-FCCCDA0B9698}</author>
    <author>tc={7097DA0A-213F-4CDC-86CD-044ABF189473}</author>
    <author>tc={60075489-9FAE-4AC0-AD46-E1B6F7FFFCB5}</author>
    <author>tc={8577F128-028B-42CB-94A6-D710A1BD94B9}</author>
    <author>tc={706583AF-FE82-448F-9A69-D43739EA43E3}</author>
    <author>tc={EBA01A2D-BB50-4732-8940-85160A2145C8}</author>
    <author>tc={8F57F044-68B2-44AC-BE88-A68F521363EC}</author>
    <author>tc={D127534D-39FD-4308-B9B9-B04A81A56DED}</author>
    <author>tc={E3CCD14B-0A31-498C-BB44-48528B8B9659}</author>
    <author>tc={A263A252-96C7-4059-A77E-CAD002202786}</author>
    <author>tc={81019FFF-1535-4CFD-9032-89822817D962}</author>
    <author>tc={B41EB031-F9D2-4FC6-9F9C-7E34865DF764}</author>
    <author>tc={4FA3D365-4A6A-4C85-AE9A-D3A68057C1F7}</author>
    <author>tc={0989C93F-83B5-421C-B280-290F96C6942C}</author>
    <author>tc={539B7EFD-8381-413E-8499-AB6DD9BDFFA0}</author>
    <author>tc={D2D79E73-E397-438B-930D-E061DCF27D9A}</author>
    <author>tc={60B674B4-5B13-4C39-A0D9-224E1E01D3DD}</author>
    <author>tc={0EF2A4D9-2EC3-4117-A9B4-CC5DBC6AB462}</author>
    <author>tc={CEC899BB-F2E9-4DC3-AD5F-CD5A0F7E54A8}</author>
    <author>tc={F74746D8-C6EA-461B-8C54-1B3FDAFC95CD}</author>
    <author>tc={A99AC68F-6FD3-4358-8DFD-988885915D11}</author>
    <author>tc={5BFDFF32-42E8-4D64-A4ED-C881D3550237}</author>
    <author>tc={484850EB-940F-4224-B4B8-68FAF3730255}</author>
    <author>tc={3867B848-1ED3-451D-BBED-2C91EB683830}</author>
    <author>tc={9F11191D-CB67-448C-AA99-5A6209A3FDDB}</author>
    <author>tc={77300FAA-877C-4E1D-9948-7C03876B3DF2}</author>
    <author>tc={00F1E4D7-5549-4EB8-9C7D-D8CE5E97159A}</author>
    <author>tc={1DDB2014-6E32-46A5-8FB2-B8644B4AAE33}</author>
    <author>tc={D3E78C2D-3518-4464-B8B1-F5429E4042DD}</author>
    <author>tc={0EF8CC3C-181C-4229-BFCD-84585AED9BDC}</author>
    <author>tc={9BFBD3E4-EA0D-4C62-85BB-8504FA433DCA}</author>
    <author>tc={6565D611-463A-4C16-8D50-45BADE3EFEF8}</author>
    <author>tc={2F4841C5-50B1-4663-8F4A-B031B7476710}</author>
    <author>tc={C7AFC52A-E856-4503-9E89-158BAB790A57}</author>
    <author>tc={6AC88EFF-577B-4BE9-9B9D-D9F2C10AC435}</author>
    <author>tc={549D9D1C-E951-4CBA-957C-6624AEF6F40B}</author>
    <author>tc={2B49E8FE-D24B-4BC1-8C8F-DB90180B0282}</author>
    <author>tc={AEB87083-A0F1-4A2F-B569-FA144CC31D6F}</author>
    <author>tc={845D105F-347D-42D8-9529-02E475FC0E5E}</author>
    <author>tc={FBBD59C1-61C4-4CC5-9783-24A53E5E1431}</author>
    <author>tc={3F83C56A-14CB-4EDD-A9F0-F7350B32A99A}</author>
    <author>tc={9FEB641F-B38B-4C20-A353-13196F355565}</author>
    <author>tc={B4F43D69-BBB9-4ACD-AF72-80372F8D422C}</author>
    <author>tc={A4501BB1-EE9B-458F-85B8-CC2D6FF23471}</author>
    <author>tc={1EC1E5E0-0FAA-40FC-A8B4-BD14FF4F570B}</author>
    <author>tc={1D4DF2A6-3F64-4C7A-9E73-01214E150B2E}</author>
    <author>tc={2B4EF786-76F0-442E-960D-484EB47F94E5}</author>
    <author>tc={4E120BA5-073A-4235-BCE3-FF1773888B2E}</author>
  </authors>
  <commentList>
    <comment ref="E4" authorId="0" shapeId="0" xr:uid="{F9415387-C9E9-40A4-AF94-FCCCDA0B96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</t>
      </text>
    </comment>
    <comment ref="I4" authorId="1" shapeId="0" xr:uid="{7097DA0A-213F-4CDC-86CD-044ABF1894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16.856,11 no proximo boleto- percentual e 15e não 20</t>
      </text>
    </comment>
    <comment ref="L4" authorId="2" shapeId="0" xr:uid="{60075489-9FAE-4AC0-AD46-E1B6F7FFFC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16856,11_ DIF MÊS ANTERIOR DE PERCENTUAL DE 20 PARA 15</t>
      </text>
    </comment>
    <comment ref="D5" authorId="3" shapeId="0" xr:uid="{8577F128-028B-42CB-94A6-D710A1BD94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 maior c cobrança  8668,10</t>
      </text>
    </comment>
    <comment ref="F5" authorId="4" shapeId="0" xr:uid="{706583AF-FE82-448F-9A69-D43739EA43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PIS E COFINS MÊS 11/2025 NÃO COBRADO</t>
      </text>
    </comment>
    <comment ref="G5" authorId="5" shapeId="0" xr:uid="{EBA01A2D-BB50-4732-8940-85160A2145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15549,49- boleto jan em fev</t>
      </text>
    </comment>
    <comment ref="I5" authorId="6" shapeId="0" xr:uid="{8F57F044-68B2-44AC-BE88-A68F521363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proximo  boleto de 175,49 e incluir valor honorario compensa pis e cofins 102025</t>
      </text>
    </comment>
    <comment ref="L5" authorId="7" shapeId="0" xr:uid="{D127534D-39FD-4308-B9B9-B04A81A56D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175,49( DIF MÊS ANTERIOR)
</t>
      </text>
    </comment>
    <comment ref="D6" authorId="8" shapeId="0" xr:uid="{E3CCD14B-0A31-498C-BB44-48528B8B96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I6" authorId="9" shapeId="0" xr:uid="{A263A252-96C7-4059-A77E-CAD0022027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1195,94</t>
      </text>
    </comment>
    <comment ref="L6" authorId="10" shapeId="0" xr:uid="{81019FFF-1535-4CFD-9032-89822817D9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Descontar 20.179,25, a epresa pagou irpj e csll, descontar nos proximos boletos</t>
      </text>
    </comment>
    <comment ref="E7" authorId="11" shapeId="0" xr:uid="{B41EB031-F9D2-4FC6-9F9C-7E34865DF7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</t>
      </text>
    </comment>
    <comment ref="I8" authorId="12" shapeId="0" xr:uid="{4FA3D365-4A6A-4C85-AE9A-D3A68057C1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15%</t>
      </text>
    </comment>
    <comment ref="D10" authorId="13" shapeId="0" xr:uid="{0989C93F-83B5-421C-B280-290F96C694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I10" authorId="14" shapeId="0" xr:uid="{539B7EFD-8381-413E-8499-AB6DD9BDFF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4118,25 proximo boleto- honorario devria ser 8312,67- empresa pagiu irpj e csll </t>
      </text>
    </comment>
    <comment ref="E12" authorId="15" shapeId="0" xr:uid="{D2D79E73-E397-438B-930D-E061DCF27D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 unica</t>
      </text>
    </comment>
    <comment ref="I13" authorId="16" shapeId="0" xr:uid="{60B674B4-5B13-4C39-A0D9-224E1E01D3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Complemento bolto mês que vem 2815,40</t>
      </text>
    </comment>
    <comment ref="L13" authorId="17" shapeId="0" xr:uid="{0EF2A4D9-2EC3-4117-A9B4-CC5DBC6AB4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2.815,40( dif mês anterior a menor)</t>
      </text>
    </comment>
    <comment ref="Q13" authorId="18" shapeId="0" xr:uid="{CEC899BB-F2E9-4DC3-AD5F-CD5A0F7E54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Exclui 12932,00 saldo dos insumos</t>
      </text>
    </comment>
    <comment ref="D15" authorId="19" shapeId="0" xr:uid="{F74746D8-C6EA-461B-8C54-1B3FDAFC95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P15" authorId="20" shapeId="0" xr:uid="{A99AC68F-6FD3-4358-8DFD-988885915D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26019,62- soma de valor de insumos</t>
      </text>
    </comment>
    <comment ref="P16" authorId="21" shapeId="0" xr:uid="{5BFDFF32-42E8-4D64-A4ED-C881D35502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33872,15- + saldo insumos que acabou</t>
      </text>
    </comment>
    <comment ref="D17" authorId="22" shapeId="0" xr:uid="{484850EB-940F-4224-B4B8-68FAF37302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 </t>
      </text>
    </comment>
    <comment ref="E17" authorId="23" shapeId="0" xr:uid="{3867B848-1ED3-451D-BBED-2C91EB6838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compensar</t>
      </text>
    </comment>
    <comment ref="C18" authorId="24" shapeId="0" xr:uid="{9F11191D-CB67-448C-AA99-5A6209A3FD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Cancelar compensao 5952 e 1708 258,23 e 13,27</t>
      </text>
    </comment>
    <comment ref="P18" authorId="25" shapeId="0" xr:uid="{77300FAA-877C-4E1D-9948-7C03876B3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Inclui 59965,46( saldo cred icms ex da bc)</t>
      </text>
    </comment>
    <comment ref="D19" authorId="26" shapeId="0" xr:uid="{00F1E4D7-5549-4EB8-9C7D-D8CE5E9715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P19" authorId="27" shapeId="0" xr:uid="{1DDB2014-6E32-46A5-8FB2-B8644B4AAE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+ 2283,29 icms st da bc pis e cofins</t>
      </text>
    </comment>
    <comment ref="D20" authorId="28" shapeId="0" xr:uid="{D3E78C2D-3518-4464-B8B1-F5429E4042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0" authorId="29" shapeId="0" xr:uid="{0EF8CC3C-181C-4229-BFCD-84585AED9B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</t>
      </text>
    </comment>
    <comment ref="P20" authorId="30" shapeId="0" xr:uid="{9BFBD3E4-EA0D-4C62-85BB-8504FA433D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 6( credi 444,12(insumos e 12131 ,07
icms st da bc)</t>
      </text>
    </comment>
    <comment ref="D21" authorId="31" shapeId="0" xr:uid="{6565D611-463A-4C16-8D50-45BADE3EFE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1" authorId="32" shapeId="0" xr:uid="{2F4841C5-50B1-4663-8F4A-B031B74767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P21" authorId="33" shapeId="0" xr:uid="{C7AFC52A-E856-4503-9E89-158BAB790A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2166,12 saldo credi icms st da bc pis e cof</t>
      </text>
    </comment>
    <comment ref="D22" authorId="34" shapeId="0" xr:uid="{6AC88EFF-577B-4BE9-9B9D-D9F2C10AC4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2" authorId="35" shapeId="0" xr:uid="{549D9D1C-E951-4CBA-957C-6624AEF6F4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P22" authorId="36" shapeId="0" xr:uid="{2B49E8FE-D24B-4BC1-8C8F-DB90180B02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+ 4879,67( cred icms st da bc pis e cofins)</t>
      </text>
    </comment>
    <comment ref="D23" authorId="37" shapeId="0" xr:uid="{AEB87083-A0F1-4A2F-B569-FA144CC31D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</t>
      </text>
    </comment>
    <comment ref="F23" authorId="38" shapeId="0" xr:uid="{845D105F-347D-42D8-9529-02E475FC0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P23" authorId="39" shapeId="0" xr:uid="{FBBD59C1-61C4-4CC5-9783-24A53E5E14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23459,96- + saldo icms st da base</t>
      </text>
    </comment>
    <comment ref="D24" authorId="40" shapeId="0" xr:uid="{3F83C56A-14CB-4EDD-A9F0-F7350B32A9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credor 12/2025 segundo o fiscal
</t>
      </text>
    </comment>
    <comment ref="F24" authorId="41" shapeId="0" xr:uid="{9FEB641F-B38B-4C20-A353-13196F3555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IRPJ E CSLL 3 TRIM 2 ULTIMAS COTAS EM ABERTO
</t>
      </text>
    </comment>
    <comment ref="D25" authorId="42" shapeId="0" xr:uid="{B4F43D69-BBB9-4ACD-AF72-80372F8D42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5" authorId="43" shapeId="0" xr:uid="{A4501BB1-EE9B-458F-85B8-CC2D6FF234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  <comment ref="D26" authorId="44" shapeId="0" xr:uid="{1EC1E5E0-0FAA-40FC-A8B4-BD14FF4F57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6" authorId="45" shapeId="0" xr:uid="{1D4DF2A6-3F64-4C7A-9E73-01214E150B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Prejuizo fiscal</t>
      </text>
    </comment>
    <comment ref="D27" authorId="46" shapeId="0" xr:uid="{2B4EF786-76F0-442E-960D-484EB47F9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credor</t>
      </text>
    </comment>
    <comment ref="E27" authorId="47" shapeId="0" xr:uid="{4E120BA5-073A-4235-BCE3-FF1773888B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mensal</t>
      </text>
    </comment>
  </commentList>
</comments>
</file>

<file path=xl/sharedStrings.xml><?xml version="1.0" encoding="utf-8"?>
<sst xmlns="http://schemas.openxmlformats.org/spreadsheetml/2006/main" count="1387" uniqueCount="292">
  <si>
    <t>RAZÃO SOCIAL</t>
  </si>
  <si>
    <t>CNPJ</t>
  </si>
  <si>
    <t>Regime Tributário</t>
  </si>
  <si>
    <t>GRANO E FARINA PADARIA E COMERCIO LTDA</t>
  </si>
  <si>
    <t>29.056.262/0001-50</t>
  </si>
  <si>
    <t>30.140.610/0001-51</t>
  </si>
  <si>
    <t>16.564.133/0001-20</t>
  </si>
  <si>
    <t>Status</t>
  </si>
  <si>
    <t>Região</t>
  </si>
  <si>
    <t>Fechado</t>
  </si>
  <si>
    <t>FJC COMERCIO DE PRODUTO (Flavio)</t>
  </si>
  <si>
    <t>22.802.549/0001-32</t>
  </si>
  <si>
    <t>Lucro Presumido</t>
  </si>
  <si>
    <t>Brasilia - DF</t>
  </si>
  <si>
    <t>Data</t>
  </si>
  <si>
    <t>MARAVISTA COMERCIO DE ALIMENTOS</t>
  </si>
  <si>
    <t>Lucro Real</t>
  </si>
  <si>
    <t>Niterói - RJ</t>
  </si>
  <si>
    <t xml:space="preserve">Lucro Real </t>
  </si>
  <si>
    <t>Rio de Janeiro - RJ</t>
  </si>
  <si>
    <t>POLISUPER DISTRIBUIDORA DE ALIMENTOS LTDA</t>
  </si>
  <si>
    <t>07.369.040/0001-54</t>
  </si>
  <si>
    <t>Relatório enviado.</t>
  </si>
  <si>
    <t>MARICA TAXI AEREO LTDA</t>
  </si>
  <si>
    <t>31.548.241/0001-01</t>
  </si>
  <si>
    <t>L.C.D. ENGENHARIA, CONSTRUCOES, MONTAGENS E MANUTENCOES</t>
  </si>
  <si>
    <t>03.593.765/0001-70</t>
  </si>
  <si>
    <t>11.820.069/0001-88</t>
  </si>
  <si>
    <t>J PINTO COMÉRCIO DE ALIMENTOS (SERRA AZUL)</t>
  </si>
  <si>
    <t>Friburgo - RJ</t>
  </si>
  <si>
    <t>EMPRESAS</t>
  </si>
  <si>
    <t>VALORES COMPENSADOS</t>
  </si>
  <si>
    <t>DCTF WEB</t>
  </si>
  <si>
    <t>PIS COFINS</t>
  </si>
  <si>
    <t>IRPJ CSLL</t>
  </si>
  <si>
    <t>TOTAL</t>
  </si>
  <si>
    <t>SALDO DE CRÉDITO</t>
  </si>
  <si>
    <t>Honários</t>
  </si>
  <si>
    <t>Vencimento</t>
  </si>
  <si>
    <t>Comp.</t>
  </si>
  <si>
    <t>CGX COMÉRCIO DE ALIMENTOS</t>
  </si>
  <si>
    <t>SUPERMERCADO GUIMARAES
FILHOS LTDA</t>
  </si>
  <si>
    <t>50.547.492/0001-08</t>
  </si>
  <si>
    <t>Saquarema - RJ</t>
  </si>
  <si>
    <t>USINA DE LEITE PARAISO LTDA</t>
  </si>
  <si>
    <t>45.621.875/0001-49</t>
  </si>
  <si>
    <t>São Gonçalo - RJ</t>
  </si>
  <si>
    <t>15.580.294/0001-45</t>
  </si>
  <si>
    <t>DEZEMBRO - 2025</t>
  </si>
  <si>
    <t>SUPERMERCADO GUIMARAES FILHOS LTDA</t>
  </si>
  <si>
    <t>R$ -</t>
  </si>
  <si>
    <t>IMPERIUM GENEROS ALIMENTICIOS LTDA</t>
  </si>
  <si>
    <t>SUPERMERCADOS FEIRA NOVA LTDA</t>
  </si>
  <si>
    <t>PEROLA DE NITEROI SUPERMERCADOS LTDA</t>
  </si>
  <si>
    <t>MERCADO 24 HORAS DA ROCINHA LTDA</t>
  </si>
  <si>
    <t>REZENDE ALIMENTOS NOVA HOLANDA LTDA</t>
  </si>
  <si>
    <t>COMERCIAL 2 REZENDE ALIMENTOS LTDA</t>
  </si>
  <si>
    <t>REZENDE ALIMENTOS CDD LTDA</t>
  </si>
  <si>
    <t>MULTI ALIMENTOS MENDANHA LTDA</t>
  </si>
  <si>
    <t>36.525.319/0001-88</t>
  </si>
  <si>
    <t>13.159.094/0001-98</t>
  </si>
  <si>
    <t>23.672.895/0001-06</t>
  </si>
  <si>
    <t>32.254.332/0001-99</t>
  </si>
  <si>
    <t>17.479.543/0001-36</t>
  </si>
  <si>
    <t>28.732.157/0001-20</t>
  </si>
  <si>
    <t>30.807.561/0001-68</t>
  </si>
  <si>
    <t>Macaé - RJ</t>
  </si>
  <si>
    <t>SUBVENÇÃO</t>
  </si>
  <si>
    <t>REPORTO</t>
  </si>
  <si>
    <t>DEZEMBRO</t>
  </si>
  <si>
    <t>PEROLA</t>
  </si>
  <si>
    <t>6 ESTRELAS</t>
  </si>
  <si>
    <t>CURTIS</t>
  </si>
  <si>
    <t>MANCEBO (VERIFICAR SE TEM GUIA A PAGAR)</t>
  </si>
  <si>
    <t>SUPERMERCADO COURTS LTDA</t>
  </si>
  <si>
    <t>00.569.560/0001-61</t>
  </si>
  <si>
    <t>22.546.657/0001-91</t>
  </si>
  <si>
    <t>MERCEARIA 6 ESTRELAS LTDA (Paulo)</t>
  </si>
  <si>
    <t>ENVIO BOLETO</t>
  </si>
  <si>
    <t>SUPERMERCADO LIBERDADE</t>
  </si>
  <si>
    <t>SÃO FERNANDO 10</t>
  </si>
  <si>
    <t>CONFIRMAR O QUE COMPENSOU SE FOI SUB</t>
  </si>
  <si>
    <t xml:space="preserve">SUPREMO </t>
  </si>
  <si>
    <t>LGH</t>
  </si>
  <si>
    <t>09.633.032/0001-07</t>
  </si>
  <si>
    <t>11.304.945/0001-13</t>
  </si>
  <si>
    <t>05.229.674/0001-86</t>
  </si>
  <si>
    <t>26.061.062/0001-05</t>
  </si>
  <si>
    <t>SUPREMO ( FALTA CONTRATO INSUMO E ST)</t>
  </si>
  <si>
    <t>FEIRA NOVA</t>
  </si>
  <si>
    <t>SÃO FERNANDO</t>
  </si>
  <si>
    <t>MERCEARIA BAR TEMPO BOM</t>
  </si>
  <si>
    <t xml:space="preserve">INSUMOS </t>
  </si>
  <si>
    <t>ICMS ST DA BC PIS E COF</t>
  </si>
  <si>
    <t>PIS E COFINS  DA BASE - JUDC</t>
  </si>
  <si>
    <t>31.862.204.0001-65</t>
  </si>
  <si>
    <t>MERCEARIA E COMERCIO DE CEREAIS DO PARQUE UNIÃO</t>
  </si>
  <si>
    <t>11.272.592/0001-17</t>
  </si>
  <si>
    <t>LONGOS VALES</t>
  </si>
  <si>
    <t>30.118.426/0001-05</t>
  </si>
  <si>
    <t>DONA BALBINA</t>
  </si>
  <si>
    <t>32.028.466/0001-91</t>
  </si>
  <si>
    <t>JÁ TA COMPENSANDO NO ECAC</t>
  </si>
  <si>
    <t>MERCEARIA E COMERCIO DE CEREAIS- TEM PIS E COFS DA BASE 500742,00</t>
  </si>
  <si>
    <t>DONA BALBINA - SEM PROCURAÇAO ECAC- TEM SUBVENÇAO 549.451,31 e st da bse pis e cofi 158.364,73</t>
  </si>
  <si>
    <t>obs em 17/12</t>
  </si>
  <si>
    <t>LONGOS VALES - ta pagando INSS( 18MIL APROX)- tem subvençao de 122.123,54 e pis e cofins da base 202899,53</t>
  </si>
  <si>
    <t>atualizar depois da compensação</t>
  </si>
  <si>
    <t>SALDO DE CRÉDITO INSUMOS</t>
  </si>
  <si>
    <t>MERCADO E PADARIA L M LOUZADA LTDA</t>
  </si>
  <si>
    <t>13.537.908/0001-80</t>
  </si>
  <si>
    <t>control saldo</t>
  </si>
  <si>
    <t>insumos</t>
  </si>
  <si>
    <t>subvenção</t>
  </si>
  <si>
    <t>saldo insumos</t>
  </si>
  <si>
    <t>utilizado insumos</t>
  </si>
  <si>
    <t>base insumos 8.109637,83</t>
  </si>
  <si>
    <t>base 2633663,67</t>
  </si>
  <si>
    <t>DCTFS</t>
  </si>
  <si>
    <t>6 STRELAS 2021</t>
  </si>
  <si>
    <t>COURTS ATE 32023</t>
  </si>
  <si>
    <t>CGX RET ATE 06/2022</t>
  </si>
  <si>
    <t>AP MEDEIROS</t>
  </si>
  <si>
    <t>31.224.769/0001-17</t>
  </si>
  <si>
    <t>4 TRIM 2022 56896,31</t>
  </si>
  <si>
    <t>Lucro real</t>
  </si>
  <si>
    <t>fechado</t>
  </si>
  <si>
    <t>ir mensal</t>
  </si>
  <si>
    <t>Exclusao Icms base pis e cof</t>
  </si>
  <si>
    <t>utilizado 11/2025</t>
  </si>
  <si>
    <t>SALDO DE CRÉDITO  SUBV</t>
  </si>
  <si>
    <t>DCTWEB 4/2025</t>
  </si>
  <si>
    <t>CREDITO EXLUSAO ICMS DA BC PIS E CF</t>
  </si>
  <si>
    <t>ajuste proximo boleto</t>
  </si>
  <si>
    <t>RJ</t>
  </si>
  <si>
    <t>REZENDE ALIMENTOS JPA LTDA</t>
  </si>
  <si>
    <t>SUPERMERCADO ECONOMICO JJ LTDA</t>
  </si>
  <si>
    <t>22.536.813/0001-33</t>
  </si>
  <si>
    <t>50.250.937/0001-93</t>
  </si>
  <si>
    <t>JANEIRO</t>
  </si>
  <si>
    <t>JANEIRO - 2026</t>
  </si>
  <si>
    <t>15030.94485.150126.1.3.19-0562</t>
  </si>
  <si>
    <t>34384.31549.150126.1.3.19-7678</t>
  </si>
  <si>
    <t>25341.13808.150126.1.3.19-1044</t>
  </si>
  <si>
    <t>04095.95327.150126.1.3.19-3931</t>
  </si>
  <si>
    <t>18602.60343.150126.1.3.19-1062</t>
  </si>
  <si>
    <t>15744.48190.150126.1.3.19-0080</t>
  </si>
  <si>
    <t>38218.51641.150126.1.3.18-2136</t>
  </si>
  <si>
    <t>26519.48994.150126.1.1.18-1809</t>
  </si>
  <si>
    <t>15942.32381.150126.1.3.18-9788</t>
  </si>
  <si>
    <t>02405.91673.150126.1.3.19-6918</t>
  </si>
  <si>
    <t>09003.01357.150126.1.3.19-7771</t>
  </si>
  <si>
    <t>COMERCIAL DE ALIMENTOS PRIMUS</t>
  </si>
  <si>
    <t>05.904.970/0001-35</t>
  </si>
  <si>
    <t>SHOPPING D CARNE BOI DE OURO</t>
  </si>
  <si>
    <t>13.373.989/0001-20</t>
  </si>
  <si>
    <t>PEDIDO RESTITUIÇAO EM CONTA</t>
  </si>
  <si>
    <t>COMERCIAL DE ALIMENTOS MANO</t>
  </si>
  <si>
    <t>05.904.978/0001-00</t>
  </si>
  <si>
    <t>17300.78779.160126.1.3.19-2064</t>
  </si>
  <si>
    <t>33883.13403.160126.1.3.19-2817</t>
  </si>
  <si>
    <t>26241.05281.160126.1.3.19-8900</t>
  </si>
  <si>
    <t>33199.62621.160126.1.3.19-6938</t>
  </si>
  <si>
    <t>40088.79112.160126.1.3.19-3906</t>
  </si>
  <si>
    <t>33465.68752.160126.1.3.19-6231</t>
  </si>
  <si>
    <t>01876.37126.150126.1.3.04-8750</t>
  </si>
  <si>
    <t>10244.34586.150126.1.3.04-3105</t>
  </si>
  <si>
    <t>15730.77247.150126.1.3.04-0557</t>
  </si>
  <si>
    <t>16022.07223.150126.1.3.04-1039</t>
  </si>
  <si>
    <t> 24335.78821.150126.1.3.04-0608</t>
  </si>
  <si>
    <t> 22029.18618.150126.1.3.18-1435</t>
  </si>
  <si>
    <t>22232.78400.150126.1.3.18-4459</t>
  </si>
  <si>
    <t>28773.61048.150126.1.3.19-3750</t>
  </si>
  <si>
    <t>33264.72763.150126.1.3.19-0989</t>
  </si>
  <si>
    <t>40157.33676.150126.1.3.19-2029</t>
  </si>
  <si>
    <t>40271.34269.150126.1.3.19-5938</t>
  </si>
  <si>
    <t>15058.02495.160126.1.3.19-4752</t>
  </si>
  <si>
    <t>DCOMPS</t>
  </si>
  <si>
    <t>OK</t>
  </si>
  <si>
    <t>RETIFICAR DCOMP- É DE SUBVENÇÃO</t>
  </si>
  <si>
    <t>28.782.157/0001-20</t>
  </si>
  <si>
    <t>30097.48283.160126.1.3.19-3338</t>
  </si>
  <si>
    <t>14818.19074.160126.1.3.19-6800</t>
  </si>
  <si>
    <t>21279.35657.160126.1.3.19-3315</t>
  </si>
  <si>
    <t>23621.25335.230126.1.3.19-5490</t>
  </si>
  <si>
    <t>03761.93908.230126.1.3.19-5961</t>
  </si>
  <si>
    <t>07357.28543.230126.1.3.19-9597</t>
  </si>
  <si>
    <t>08268.04410.230126.1.3.19-6086</t>
  </si>
  <si>
    <t>41636.47156.261225.1.1.19-7607</t>
  </si>
  <si>
    <t>25818.82650.261225.1.3.19-4104</t>
  </si>
  <si>
    <t>37486.56052.230126.1.3.19-2957</t>
  </si>
  <si>
    <t>25342.70439.230126.1.3.04-3340</t>
  </si>
  <si>
    <t>14009.83451.230126.1.3.04-7126</t>
  </si>
  <si>
    <t>35496.64570.230126.1.3.04-0380</t>
  </si>
  <si>
    <t>03526.30462.230126.1.3.19-1778</t>
  </si>
  <si>
    <t>08515.54513.240126.1.3.18-5868</t>
  </si>
  <si>
    <t>SOUZA E CAMPOS COM DE PROD ALIMENTICIOS EIRELI</t>
  </si>
  <si>
    <t>34.852.621/0001-15</t>
  </si>
  <si>
    <t>07667.63853.270126.1.1.19-8302</t>
  </si>
  <si>
    <t>41921.29564.270126.1.3.19-1902</t>
  </si>
  <si>
    <t>19620.51548.270126.1.1.19-2231</t>
  </si>
  <si>
    <t>27812.30712.270126.1.3.19-9856</t>
  </si>
  <si>
    <t>01314.10762.270126.1.3.18-3714</t>
  </si>
  <si>
    <t>01665.96498.270126.1.1.19-5080</t>
  </si>
  <si>
    <t>34762.02234.270126.1.3.19-0029</t>
  </si>
  <si>
    <t>37478.68134.270126.1.1.19-0597</t>
  </si>
  <si>
    <t>22899.53035.270126.1.1.19-0323</t>
  </si>
  <si>
    <t>31873.69683.270126.1.3.19-8961</t>
  </si>
  <si>
    <t>VL NFSE- ENVIO</t>
  </si>
  <si>
    <t>00019.48046.270126.1.3.19-0646</t>
  </si>
  <si>
    <t>04132.22811.270126.1.1.19-0703</t>
  </si>
  <si>
    <t>10598.28328.270126.1.3.19-6070</t>
  </si>
  <si>
    <t>07585.20794.270126.1.3.19-2363</t>
  </si>
  <si>
    <t>05937.54906.270126.1.1.19-7594</t>
  </si>
  <si>
    <t>15999.16611.270126.1.3.19-8479</t>
  </si>
  <si>
    <t>13632.17123.270126.1.3.19-1696</t>
  </si>
  <si>
    <t>21944.39559.270126.1.1.19-7641</t>
  </si>
  <si>
    <t>38713.19911.270126.1.3.19-8890</t>
  </si>
  <si>
    <t>37425.08119.270126.1.3.19-9802</t>
  </si>
  <si>
    <t>06161.76072.270126.1.1.18-9308</t>
  </si>
  <si>
    <t>COMPENSAÇÃO DOS IMPOSTOS EM ABERTO</t>
  </si>
  <si>
    <t>SALDO</t>
  </si>
  <si>
    <t>TOTAL CREDITOS APURADOS ADM</t>
  </si>
  <si>
    <t>08436.38790.270126.1.3.19-4052</t>
  </si>
  <si>
    <t>%</t>
  </si>
  <si>
    <t>SP</t>
  </si>
  <si>
    <t>16899.18729.280126.1.3.19-6950</t>
  </si>
  <si>
    <t>39634.47398.280126.1.1.19-4068</t>
  </si>
  <si>
    <t>07053.49133.280126.1.3.19-0027</t>
  </si>
  <si>
    <t>DCTWEb IRPJ/CS 3 TRIM /PIS-COF</t>
  </si>
  <si>
    <t>08495.28809.280126.1.3.19-2941</t>
  </si>
  <si>
    <t>12318.77957.280126.1.1.19-1580</t>
  </si>
  <si>
    <t>12267.25756.280126.1.1.19-1950</t>
  </si>
  <si>
    <t>36923.64823.280126.1.3.19-9078</t>
  </si>
  <si>
    <t>17173.01128.280126.1.1.19-2013</t>
  </si>
  <si>
    <t>11433.17846.280126.1.3.19-8040</t>
  </si>
  <si>
    <t>UNIÃO DA FAMILIA MERCEARIA LTDA</t>
  </si>
  <si>
    <t>20.782.168/0001-03</t>
  </si>
  <si>
    <t>MERCADO UNIÃO DE NOVA BRASILIA LTDA</t>
  </si>
  <si>
    <t>30.285.758/0001-84</t>
  </si>
  <si>
    <t>Lucro Rela</t>
  </si>
  <si>
    <t>18610.51180.290126.1.3.19-2723</t>
  </si>
  <si>
    <t>24591.17799.290126.1.3.19-6281</t>
  </si>
  <si>
    <t>07278.67239.290126.1.1.19-9085</t>
  </si>
  <si>
    <t>36050.46345.290126.1.3.19-0817</t>
  </si>
  <si>
    <t>Pago</t>
  </si>
  <si>
    <t>STATUS PGTOS</t>
  </si>
  <si>
    <t>pago</t>
  </si>
  <si>
    <t>MULTIMIX</t>
  </si>
  <si>
    <t>EMPORIO PETROPOLIS</t>
  </si>
  <si>
    <t>15.202.462/0001-69</t>
  </si>
  <si>
    <t>03.307.464/0001-33</t>
  </si>
  <si>
    <t>,</t>
  </si>
  <si>
    <t>PADARIA JANDRES</t>
  </si>
  <si>
    <t>SALDO honorario projeção</t>
  </si>
  <si>
    <t>REUNIDOS</t>
  </si>
  <si>
    <t xml:space="preserve"> </t>
  </si>
  <si>
    <t>MARÇO</t>
  </si>
  <si>
    <t>ok</t>
  </si>
  <si>
    <t>10.440.200/0001-19</t>
  </si>
  <si>
    <t>SOLIDCON BARRA INFORMATICA LTDA</t>
  </si>
  <si>
    <t>04.782.837/0001-90</t>
  </si>
  <si>
    <t>ABRIL - 2026</t>
  </si>
  <si>
    <t>32.352.751/0001-63</t>
  </si>
  <si>
    <t>MAPA</t>
  </si>
  <si>
    <t>OK (SALDO)</t>
  </si>
  <si>
    <t>SALDO CRÉDITOS E TESES</t>
  </si>
  <si>
    <t>SOLIDICON</t>
  </si>
  <si>
    <t>PREVIDENCIARIO</t>
  </si>
  <si>
    <t>CREDITO EXLUSAO ICMS st DA BC PIS E CF</t>
  </si>
  <si>
    <t>SUPERMERCADO BATISTA</t>
  </si>
  <si>
    <t>MERCADINHO PAI E FILHA</t>
  </si>
  <si>
    <t>PRINCESA</t>
  </si>
  <si>
    <t>SUPERMERCADO CAMPOS NOVOS</t>
  </si>
  <si>
    <t>27.833.615/0001-55</t>
  </si>
  <si>
    <t>15.471.879/0001-27</t>
  </si>
  <si>
    <t>18.108.211/0001-08</t>
  </si>
  <si>
    <t>33.333.713/0001-26</t>
  </si>
  <si>
    <t>ABRIL</t>
  </si>
  <si>
    <t>INSS</t>
  </si>
  <si>
    <t>RETIDOS</t>
  </si>
  <si>
    <t>PIS</t>
  </si>
  <si>
    <t>COFINS</t>
  </si>
  <si>
    <t>A M MACAE COMERCIO DE ALIMENTOS LTDA</t>
  </si>
  <si>
    <t>18.343.960/0001-10</t>
  </si>
  <si>
    <t>PIS/COFINS</t>
  </si>
  <si>
    <t>DCTF WEB - INSS</t>
  </si>
  <si>
    <t>IMPERIUM</t>
  </si>
  <si>
    <t>NOVEMBRO - 2025</t>
  </si>
  <si>
    <t>NOVEMBRO</t>
  </si>
  <si>
    <t>FEVEREIRO</t>
  </si>
  <si>
    <t>MARÇO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</si>
</sst>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.0_-;\-* #,##0.0_-;_-* &quot;-&quot;??_-;_-@_-"/>
    <numFmt numFmtId="166" formatCode="0.0%"/>
  </numFmts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12E43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b/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10"/>
      <color theme="3"/>
      <name val="Arial"/>
      <family val="2"/>
    </font>
    <font>
      <b/>
      <strike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22" fillId="0" borderId="0" applyFont="0" applyFill="0" applyBorder="0" applyAlignment="0" applyProtection="0"/>
    <xf numFmtId="43" fontId="28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402">
    <xf numFmtId="0" fontId="0" fillId="0" borderId="0" xfId="0"/>
    <xf numFmtId="0" fontId="0" fillId="3" borderId="0" xfId="0" applyFill="1"/>
    <xf numFmtId="0" fontId="21" fillId="2" borderId="1" xfId="0" applyFont="1" applyFill="1" applyBorder="1" applyAlignment="1">
      <alignment horizontal="center"/>
    </xf>
    <xf numFmtId="44" fontId="0" fillId="3" borderId="0" xfId="0" applyNumberFormat="1" applyFill="1"/>
    <xf numFmtId="44" fontId="0" fillId="3" borderId="1" xfId="1" applyFont="1" applyFill="1" applyBorder="1"/>
    <xf numFmtId="14" fontId="0" fillId="4" borderId="1" xfId="0" applyNumberFormat="1" applyFill="1" applyBorder="1"/>
    <xf numFmtId="0" fontId="19" fillId="4" borderId="1" xfId="0" applyFont="1" applyFill="1" applyBorder="1"/>
    <xf numFmtId="0" fontId="21" fillId="2" borderId="2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4" fillId="3" borderId="0" xfId="0" applyFont="1" applyFill="1"/>
    <xf numFmtId="0" fontId="24" fillId="0" borderId="0" xfId="0" applyFont="1"/>
    <xf numFmtId="8" fontId="26" fillId="3" borderId="0" xfId="0" applyNumberFormat="1" applyFont="1" applyFill="1" applyAlignment="1">
      <alignment horizontal="center"/>
    </xf>
    <xf numFmtId="0" fontId="24" fillId="3" borderId="4" xfId="0" applyFont="1" applyFill="1" applyBorder="1"/>
    <xf numFmtId="0" fontId="0" fillId="3" borderId="5" xfId="0" applyFill="1" applyBorder="1"/>
    <xf numFmtId="0" fontId="20" fillId="3" borderId="1" xfId="0" applyFont="1" applyFill="1" applyBorder="1"/>
    <xf numFmtId="0" fontId="20" fillId="3" borderId="1" xfId="0" applyFont="1" applyFill="1" applyBorder="1" applyAlignment="1">
      <alignment horizontal="center"/>
    </xf>
    <xf numFmtId="44" fontId="20" fillId="3" borderId="1" xfId="1" applyFont="1" applyFill="1" applyBorder="1" applyAlignment="1">
      <alignment horizontal="center"/>
    </xf>
    <xf numFmtId="44" fontId="24" fillId="3" borderId="1" xfId="0" applyNumberFormat="1" applyFont="1" applyFill="1" applyBorder="1"/>
    <xf numFmtId="44" fontId="20" fillId="3" borderId="3" xfId="1" applyFont="1" applyFill="1" applyBorder="1" applyAlignment="1">
      <alignment horizontal="center"/>
    </xf>
    <xf numFmtId="0" fontId="25" fillId="3" borderId="0" xfId="0" applyFont="1" applyFill="1"/>
    <xf numFmtId="14" fontId="24" fillId="3" borderId="1" xfId="0" applyNumberFormat="1" applyFont="1" applyFill="1" applyBorder="1"/>
    <xf numFmtId="14" fontId="24" fillId="3" borderId="1" xfId="0" applyNumberFormat="1" applyFont="1" applyFill="1" applyBorder="1" applyAlignment="1">
      <alignment horizontal="center"/>
    </xf>
    <xf numFmtId="44" fontId="20" fillId="3" borderId="1" xfId="1" applyFont="1" applyFill="1" applyBorder="1" applyAlignment="1"/>
    <xf numFmtId="0" fontId="18" fillId="4" borderId="1" xfId="0" applyFont="1" applyFill="1" applyBorder="1"/>
    <xf numFmtId="0" fontId="18" fillId="3" borderId="0" xfId="0" applyFont="1" applyFill="1"/>
    <xf numFmtId="44" fontId="24" fillId="3" borderId="0" xfId="0" applyNumberFormat="1" applyFont="1" applyFill="1"/>
    <xf numFmtId="14" fontId="0" fillId="5" borderId="1" xfId="0" applyNumberFormat="1" applyFill="1" applyBorder="1"/>
    <xf numFmtId="0" fontId="17" fillId="5" borderId="1" xfId="0" applyFont="1" applyFill="1" applyBorder="1"/>
    <xf numFmtId="0" fontId="19" fillId="5" borderId="1" xfId="0" applyFont="1" applyFill="1" applyBorder="1"/>
    <xf numFmtId="44" fontId="0" fillId="5" borderId="1" xfId="1" applyFont="1" applyFill="1" applyBorder="1"/>
    <xf numFmtId="49" fontId="23" fillId="3" borderId="0" xfId="0" applyNumberFormat="1" applyFont="1" applyFill="1" applyAlignment="1">
      <alignment horizontal="center"/>
    </xf>
    <xf numFmtId="17" fontId="27" fillId="3" borderId="0" xfId="0" applyNumberFormat="1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0" fillId="6" borderId="1" xfId="0" applyFont="1" applyFill="1" applyBorder="1"/>
    <xf numFmtId="0" fontId="20" fillId="6" borderId="1" xfId="0" applyFont="1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0" fontId="0" fillId="0" borderId="1" xfId="0" applyBorder="1"/>
    <xf numFmtId="44" fontId="0" fillId="4" borderId="1" xfId="1" applyFont="1" applyFill="1" applyBorder="1"/>
    <xf numFmtId="43" fontId="0" fillId="0" borderId="1" xfId="2" applyFont="1" applyBorder="1"/>
    <xf numFmtId="44" fontId="0" fillId="0" borderId="0" xfId="0" applyNumberFormat="1"/>
    <xf numFmtId="43" fontId="0" fillId="0" borderId="0" xfId="0" applyNumberFormat="1"/>
    <xf numFmtId="43" fontId="20" fillId="3" borderId="1" xfId="2" applyFont="1" applyFill="1" applyBorder="1" applyAlignment="1">
      <alignment horizontal="center"/>
    </xf>
    <xf numFmtId="0" fontId="0" fillId="4" borderId="0" xfId="0" applyFill="1"/>
    <xf numFmtId="43" fontId="0" fillId="0" borderId="1" xfId="2" applyFont="1" applyFill="1" applyBorder="1"/>
    <xf numFmtId="16" fontId="0" fillId="7" borderId="0" xfId="0" applyNumberFormat="1" applyFill="1"/>
    <xf numFmtId="0" fontId="16" fillId="7" borderId="1" xfId="0" applyFont="1" applyFill="1" applyBorder="1"/>
    <xf numFmtId="0" fontId="0" fillId="7" borderId="1" xfId="0" applyFill="1" applyBorder="1"/>
    <xf numFmtId="16" fontId="0" fillId="7" borderId="1" xfId="0" applyNumberFormat="1" applyFill="1" applyBorder="1"/>
    <xf numFmtId="0" fontId="21" fillId="2" borderId="0" xfId="0" applyFont="1" applyFill="1" applyAlignment="1">
      <alignment horizontal="center"/>
    </xf>
    <xf numFmtId="43" fontId="16" fillId="7" borderId="1" xfId="2" applyFont="1" applyFill="1" applyBorder="1"/>
    <xf numFmtId="44" fontId="0" fillId="7" borderId="1" xfId="1" applyFont="1" applyFill="1" applyBorder="1"/>
    <xf numFmtId="0" fontId="16" fillId="3" borderId="0" xfId="0" applyFont="1" applyFill="1"/>
    <xf numFmtId="0" fontId="16" fillId="4" borderId="0" xfId="0" applyFont="1" applyFill="1"/>
    <xf numFmtId="0" fontId="30" fillId="8" borderId="6" xfId="0" applyFont="1" applyFill="1" applyBorder="1"/>
    <xf numFmtId="0" fontId="30" fillId="8" borderId="6" xfId="0" applyFont="1" applyFill="1" applyBorder="1" applyAlignment="1">
      <alignment horizontal="center"/>
    </xf>
    <xf numFmtId="43" fontId="0" fillId="3" borderId="0" xfId="2" applyFont="1" applyFill="1"/>
    <xf numFmtId="0" fontId="20" fillId="7" borderId="1" xfId="0" applyFont="1" applyFill="1" applyBorder="1"/>
    <xf numFmtId="0" fontId="0" fillId="7" borderId="0" xfId="0" applyFill="1"/>
    <xf numFmtId="0" fontId="16" fillId="7" borderId="0" xfId="0" applyFont="1" applyFill="1"/>
    <xf numFmtId="0" fontId="16" fillId="0" borderId="1" xfId="0" applyFont="1" applyBorder="1"/>
    <xf numFmtId="43" fontId="16" fillId="0" borderId="1" xfId="2" applyFont="1" applyFill="1" applyBorder="1"/>
    <xf numFmtId="0" fontId="23" fillId="0" borderId="1" xfId="0" applyFont="1" applyBorder="1"/>
    <xf numFmtId="44" fontId="31" fillId="5" borderId="1" xfId="1" applyFont="1" applyFill="1" applyBorder="1"/>
    <xf numFmtId="0" fontId="15" fillId="6" borderId="1" xfId="0" applyFont="1" applyFill="1" applyBorder="1"/>
    <xf numFmtId="0" fontId="15" fillId="0" borderId="0" xfId="0" applyFont="1"/>
    <xf numFmtId="164" fontId="0" fillId="0" borderId="1" xfId="0" applyNumberFormat="1" applyBorder="1"/>
    <xf numFmtId="164" fontId="0" fillId="0" borderId="1" xfId="2" applyNumberFormat="1" applyFont="1" applyBorder="1"/>
    <xf numFmtId="164" fontId="24" fillId="3" borderId="1" xfId="0" applyNumberFormat="1" applyFont="1" applyFill="1" applyBorder="1"/>
    <xf numFmtId="164" fontId="0" fillId="0" borderId="0" xfId="0" applyNumberFormat="1"/>
    <xf numFmtId="0" fontId="30" fillId="3" borderId="1" xfId="0" applyFont="1" applyFill="1" applyBorder="1"/>
    <xf numFmtId="0" fontId="21" fillId="2" borderId="0" xfId="0" applyFont="1" applyFill="1" applyAlignment="1">
      <alignment horizontal="center" vertical="center"/>
    </xf>
    <xf numFmtId="164" fontId="24" fillId="9" borderId="1" xfId="0" applyNumberFormat="1" applyFont="1" applyFill="1" applyBorder="1"/>
    <xf numFmtId="164" fontId="0" fillId="9" borderId="1" xfId="2" applyNumberFormat="1" applyFont="1" applyFill="1" applyBorder="1"/>
    <xf numFmtId="164" fontId="24" fillId="10" borderId="1" xfId="0" applyNumberFormat="1" applyFont="1" applyFill="1" applyBorder="1"/>
    <xf numFmtId="44" fontId="0" fillId="10" borderId="0" xfId="0" applyNumberFormat="1" applyFill="1"/>
    <xf numFmtId="10" fontId="0" fillId="0" borderId="0" xfId="0" applyNumberFormat="1"/>
    <xf numFmtId="0" fontId="0" fillId="9" borderId="0" xfId="0" applyFill="1"/>
    <xf numFmtId="43" fontId="0" fillId="3" borderId="1" xfId="2" applyFont="1" applyFill="1" applyBorder="1"/>
    <xf numFmtId="0" fontId="0" fillId="7" borderId="2" xfId="0" applyFill="1" applyBorder="1"/>
    <xf numFmtId="0" fontId="14" fillId="3" borderId="1" xfId="0" applyFont="1" applyFill="1" applyBorder="1"/>
    <xf numFmtId="0" fontId="0" fillId="3" borderId="1" xfId="0" applyFill="1" applyBorder="1"/>
    <xf numFmtId="0" fontId="14" fillId="0" borderId="1" xfId="0" applyFont="1" applyBorder="1"/>
    <xf numFmtId="14" fontId="0" fillId="3" borderId="1" xfId="0" applyNumberFormat="1" applyFill="1" applyBorder="1"/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43" fontId="20" fillId="0" borderId="3" xfId="2" applyFont="1" applyFill="1" applyBorder="1" applyAlignment="1">
      <alignment horizontal="center"/>
    </xf>
    <xf numFmtId="43" fontId="23" fillId="0" borderId="0" xfId="2" applyFont="1" applyFill="1"/>
    <xf numFmtId="43" fontId="30" fillId="0" borderId="1" xfId="2" applyFont="1" applyFill="1" applyBorder="1" applyAlignment="1"/>
    <xf numFmtId="43" fontId="20" fillId="0" borderId="1" xfId="2" applyFont="1" applyFill="1" applyBorder="1" applyAlignment="1"/>
    <xf numFmtId="43" fontId="23" fillId="0" borderId="1" xfId="2" applyFont="1" applyFill="1" applyBorder="1"/>
    <xf numFmtId="44" fontId="33" fillId="0" borderId="1" xfId="0" applyNumberFormat="1" applyFont="1" applyBorder="1"/>
    <xf numFmtId="0" fontId="30" fillId="0" borderId="1" xfId="0" applyFont="1" applyBorder="1"/>
    <xf numFmtId="0" fontId="20" fillId="0" borderId="1" xfId="0" applyFont="1" applyBorder="1" applyAlignment="1">
      <alignment horizontal="center"/>
    </xf>
    <xf numFmtId="44" fontId="0" fillId="0" borderId="1" xfId="1" applyFont="1" applyFill="1" applyBorder="1"/>
    <xf numFmtId="0" fontId="35" fillId="0" borderId="0" xfId="0" applyFont="1"/>
    <xf numFmtId="14" fontId="0" fillId="3" borderId="0" xfId="0" applyNumberFormat="1" applyFill="1"/>
    <xf numFmtId="14" fontId="0" fillId="0" borderId="0" xfId="0" applyNumberFormat="1"/>
    <xf numFmtId="0" fontId="20" fillId="4" borderId="1" xfId="0" applyFont="1" applyFill="1" applyBorder="1"/>
    <xf numFmtId="0" fontId="20" fillId="4" borderId="1" xfId="0" applyFont="1" applyFill="1" applyBorder="1" applyAlignment="1">
      <alignment horizontal="center"/>
    </xf>
    <xf numFmtId="43" fontId="30" fillId="4" borderId="1" xfId="2" applyFont="1" applyFill="1" applyBorder="1" applyAlignment="1"/>
    <xf numFmtId="43" fontId="20" fillId="4" borderId="1" xfId="2" applyFont="1" applyFill="1" applyBorder="1" applyAlignment="1"/>
    <xf numFmtId="43" fontId="20" fillId="4" borderId="1" xfId="2" applyFont="1" applyFill="1" applyBorder="1" applyAlignment="1">
      <alignment horizontal="center"/>
    </xf>
    <xf numFmtId="49" fontId="23" fillId="0" borderId="0" xfId="0" applyNumberFormat="1" applyFont="1" applyAlignment="1">
      <alignment horizontal="center"/>
    </xf>
    <xf numFmtId="4" fontId="0" fillId="0" borderId="1" xfId="0" applyNumberFormat="1" applyBorder="1"/>
    <xf numFmtId="43" fontId="0" fillId="4" borderId="0" xfId="2" applyFont="1" applyFill="1"/>
    <xf numFmtId="43" fontId="13" fillId="0" borderId="0" xfId="2" applyFont="1"/>
    <xf numFmtId="43" fontId="0" fillId="0" borderId="0" xfId="2" applyFont="1"/>
    <xf numFmtId="0" fontId="36" fillId="11" borderId="0" xfId="0" applyFont="1" applyFill="1"/>
    <xf numFmtId="43" fontId="23" fillId="0" borderId="0" xfId="2" applyFont="1"/>
    <xf numFmtId="43" fontId="23" fillId="0" borderId="0" xfId="2" applyFont="1" applyFill="1" applyBorder="1"/>
    <xf numFmtId="43" fontId="27" fillId="3" borderId="0" xfId="2" applyFont="1" applyFill="1"/>
    <xf numFmtId="43" fontId="36" fillId="0" borderId="0" xfId="2" applyFont="1"/>
    <xf numFmtId="0" fontId="30" fillId="0" borderId="1" xfId="0" applyFont="1" applyBorder="1" applyAlignment="1">
      <alignment horizontal="left"/>
    </xf>
    <xf numFmtId="44" fontId="33" fillId="0" borderId="0" xfId="0" applyNumberFormat="1" applyFont="1"/>
    <xf numFmtId="44" fontId="24" fillId="9" borderId="1" xfId="0" applyNumberFormat="1" applyFont="1" applyFill="1" applyBorder="1"/>
    <xf numFmtId="0" fontId="30" fillId="12" borderId="1" xfId="0" applyFont="1" applyFill="1" applyBorder="1"/>
    <xf numFmtId="0" fontId="14" fillId="12" borderId="1" xfId="0" applyFont="1" applyFill="1" applyBorder="1"/>
    <xf numFmtId="0" fontId="0" fillId="12" borderId="0" xfId="0" applyFill="1"/>
    <xf numFmtId="0" fontId="12" fillId="0" borderId="0" xfId="0" applyFont="1"/>
    <xf numFmtId="43" fontId="30" fillId="0" borderId="1" xfId="2" applyFont="1" applyFill="1" applyBorder="1" applyAlignment="1">
      <alignment horizontal="center"/>
    </xf>
    <xf numFmtId="0" fontId="23" fillId="0" borderId="0" xfId="0" applyFont="1"/>
    <xf numFmtId="44" fontId="33" fillId="13" borderId="1" xfId="0" applyNumberFormat="1" applyFont="1" applyFill="1" applyBorder="1"/>
    <xf numFmtId="0" fontId="34" fillId="0" borderId="2" xfId="0" applyFont="1" applyBorder="1"/>
    <xf numFmtId="0" fontId="30" fillId="0" borderId="2" xfId="0" applyFont="1" applyBorder="1" applyAlignment="1">
      <alignment horizontal="center"/>
    </xf>
    <xf numFmtId="0" fontId="14" fillId="3" borderId="2" xfId="0" applyFont="1" applyFill="1" applyBorder="1"/>
    <xf numFmtId="0" fontId="0" fillId="3" borderId="2" xfId="0" applyFill="1" applyBorder="1"/>
    <xf numFmtId="0" fontId="11" fillId="3" borderId="1" xfId="0" applyFont="1" applyFill="1" applyBorder="1"/>
    <xf numFmtId="14" fontId="0" fillId="0" borderId="1" xfId="0" applyNumberFormat="1" applyBorder="1"/>
    <xf numFmtId="164" fontId="27" fillId="14" borderId="1" xfId="0" applyNumberFormat="1" applyFont="1" applyFill="1" applyBorder="1" applyAlignment="1">
      <alignment horizontal="center"/>
    </xf>
    <xf numFmtId="164" fontId="23" fillId="0" borderId="0" xfId="2" applyNumberFormat="1" applyFont="1"/>
    <xf numFmtId="164" fontId="23" fillId="0" borderId="0" xfId="2" applyNumberFormat="1" applyFont="1" applyBorder="1"/>
    <xf numFmtId="0" fontId="10" fillId="0" borderId="0" xfId="0" applyFont="1"/>
    <xf numFmtId="43" fontId="10" fillId="0" borderId="0" xfId="2" applyFont="1"/>
    <xf numFmtId="164" fontId="0" fillId="15" borderId="1" xfId="2" applyNumberFormat="1" applyFont="1" applyFill="1" applyBorder="1"/>
    <xf numFmtId="164" fontId="0" fillId="15" borderId="0" xfId="0" applyNumberFormat="1" applyFill="1"/>
    <xf numFmtId="9" fontId="0" fillId="0" borderId="0" xfId="0" applyNumberFormat="1"/>
    <xf numFmtId="0" fontId="38" fillId="0" borderId="0" xfId="0" applyFont="1"/>
    <xf numFmtId="43" fontId="38" fillId="0" borderId="0" xfId="2" applyFont="1"/>
    <xf numFmtId="44" fontId="0" fillId="0" borderId="0" xfId="1" applyFont="1" applyFill="1" applyBorder="1"/>
    <xf numFmtId="43" fontId="39" fillId="4" borderId="0" xfId="0" applyNumberFormat="1" applyFont="1" applyFill="1"/>
    <xf numFmtId="0" fontId="39" fillId="4" borderId="0" xfId="0" applyFont="1" applyFill="1"/>
    <xf numFmtId="0" fontId="40" fillId="0" borderId="0" xfId="0" applyFont="1"/>
    <xf numFmtId="9" fontId="24" fillId="9" borderId="1" xfId="3" applyFont="1" applyFill="1" applyBorder="1"/>
    <xf numFmtId="165" fontId="24" fillId="9" borderId="1" xfId="2" applyNumberFormat="1" applyFont="1" applyFill="1" applyBorder="1"/>
    <xf numFmtId="165" fontId="24" fillId="10" borderId="1" xfId="2" applyNumberFormat="1" applyFont="1" applyFill="1" applyBorder="1"/>
    <xf numFmtId="165" fontId="24" fillId="3" borderId="1" xfId="2" applyNumberFormat="1" applyFont="1" applyFill="1" applyBorder="1"/>
    <xf numFmtId="165" fontId="24" fillId="0" borderId="1" xfId="2" applyNumberFormat="1" applyFont="1" applyFill="1" applyBorder="1"/>
    <xf numFmtId="165" fontId="0" fillId="0" borderId="1" xfId="2" applyNumberFormat="1" applyFont="1" applyBorder="1"/>
    <xf numFmtId="165" fontId="0" fillId="9" borderId="1" xfId="2" applyNumberFormat="1" applyFont="1" applyFill="1" applyBorder="1"/>
    <xf numFmtId="165" fontId="0" fillId="15" borderId="1" xfId="2" applyNumberFormat="1" applyFont="1" applyFill="1" applyBorder="1"/>
    <xf numFmtId="43" fontId="30" fillId="16" borderId="1" xfId="2" applyFont="1" applyFill="1" applyBorder="1" applyAlignment="1"/>
    <xf numFmtId="44" fontId="33" fillId="16" borderId="1" xfId="0" applyNumberFormat="1" applyFont="1" applyFill="1" applyBorder="1"/>
    <xf numFmtId="0" fontId="0" fillId="16" borderId="0" xfId="0" applyFill="1"/>
    <xf numFmtId="164" fontId="24" fillId="17" borderId="1" xfId="0" applyNumberFormat="1" applyFont="1" applyFill="1" applyBorder="1"/>
    <xf numFmtId="14" fontId="24" fillId="3" borderId="2" xfId="0" applyNumberFormat="1" applyFont="1" applyFill="1" applyBorder="1" applyAlignment="1">
      <alignment horizontal="center"/>
    </xf>
    <xf numFmtId="0" fontId="10" fillId="3" borderId="1" xfId="0" applyFont="1" applyFill="1" applyBorder="1"/>
    <xf numFmtId="0" fontId="9" fillId="0" borderId="0" xfId="0" applyFont="1"/>
    <xf numFmtId="43" fontId="9" fillId="0" borderId="0" xfId="0" applyNumberFormat="1" applyFont="1"/>
    <xf numFmtId="164" fontId="9" fillId="0" borderId="0" xfId="0" applyNumberFormat="1" applyFont="1"/>
    <xf numFmtId="164" fontId="27" fillId="14" borderId="7" xfId="0" applyNumberFormat="1" applyFont="1" applyFill="1" applyBorder="1" applyAlignment="1">
      <alignment horizontal="center"/>
    </xf>
    <xf numFmtId="0" fontId="0" fillId="0" borderId="2" xfId="0" applyBorder="1"/>
    <xf numFmtId="44" fontId="24" fillId="3" borderId="2" xfId="0" applyNumberFormat="1" applyFont="1" applyFill="1" applyBorder="1"/>
    <xf numFmtId="44" fontId="24" fillId="9" borderId="2" xfId="0" applyNumberFormat="1" applyFont="1" applyFill="1" applyBorder="1"/>
    <xf numFmtId="2" fontId="38" fillId="0" borderId="0" xfId="0" applyNumberFormat="1" applyFont="1"/>
    <xf numFmtId="2" fontId="38" fillId="0" borderId="0" xfId="2" applyNumberFormat="1" applyFont="1"/>
    <xf numFmtId="2" fontId="40" fillId="0" borderId="0" xfId="0" applyNumberFormat="1" applyFont="1"/>
    <xf numFmtId="2" fontId="35" fillId="0" borderId="0" xfId="0" applyNumberFormat="1" applyFont="1"/>
    <xf numFmtId="49" fontId="23" fillId="3" borderId="1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164" fontId="23" fillId="10" borderId="1" xfId="0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43" fontId="23" fillId="3" borderId="0" xfId="2" applyFont="1" applyFill="1"/>
    <xf numFmtId="164" fontId="23" fillId="9" borderId="1" xfId="0" applyNumberFormat="1" applyFont="1" applyFill="1" applyBorder="1" applyAlignment="1">
      <alignment horizontal="center"/>
    </xf>
    <xf numFmtId="44" fontId="23" fillId="0" borderId="1" xfId="2" applyNumberFormat="1" applyFont="1" applyBorder="1"/>
    <xf numFmtId="44" fontId="23" fillId="3" borderId="1" xfId="2" applyNumberFormat="1" applyFont="1" applyFill="1" applyBorder="1"/>
    <xf numFmtId="0" fontId="23" fillId="7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34" fillId="0" borderId="1" xfId="0" applyFont="1" applyBorder="1" applyAlignment="1">
      <alignment horizontal="left"/>
    </xf>
    <xf numFmtId="44" fontId="42" fillId="0" borderId="1" xfId="0" applyNumberFormat="1" applyFont="1" applyBorder="1"/>
    <xf numFmtId="44" fontId="23" fillId="5" borderId="1" xfId="1" applyFont="1" applyFill="1" applyBorder="1"/>
    <xf numFmtId="44" fontId="43" fillId="3" borderId="1" xfId="0" applyNumberFormat="1" applyFont="1" applyFill="1" applyBorder="1"/>
    <xf numFmtId="4" fontId="0" fillId="0" borderId="0" xfId="0" applyNumberFormat="1"/>
    <xf numFmtId="9" fontId="23" fillId="0" borderId="0" xfId="3" applyFont="1"/>
    <xf numFmtId="9" fontId="23" fillId="3" borderId="0" xfId="3" applyFont="1" applyFill="1" applyAlignment="1">
      <alignment horizontal="center"/>
    </xf>
    <xf numFmtId="9" fontId="27" fillId="3" borderId="0" xfId="3" applyFont="1" applyFill="1"/>
    <xf numFmtId="9" fontId="36" fillId="0" borderId="0" xfId="3" applyFont="1"/>
    <xf numFmtId="164" fontId="23" fillId="0" borderId="0" xfId="3" applyNumberFormat="1" applyFont="1"/>
    <xf numFmtId="0" fontId="7" fillId="0" borderId="0" xfId="0" applyFont="1"/>
    <xf numFmtId="0" fontId="7" fillId="4" borderId="0" xfId="0" applyFont="1" applyFill="1"/>
    <xf numFmtId="166" fontId="7" fillId="3" borderId="1" xfId="3" applyNumberFormat="1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/>
    <xf numFmtId="44" fontId="7" fillId="3" borderId="0" xfId="0" applyNumberFormat="1" applyFont="1" applyFill="1"/>
    <xf numFmtId="166" fontId="7" fillId="3" borderId="1" xfId="2" applyNumberFormat="1" applyFont="1" applyFill="1" applyBorder="1" applyAlignment="1">
      <alignment horizontal="center"/>
    </xf>
    <xf numFmtId="43" fontId="7" fillId="0" borderId="0" xfId="0" applyNumberFormat="1" applyFont="1"/>
    <xf numFmtId="44" fontId="7" fillId="19" borderId="1" xfId="0" applyNumberFormat="1" applyFont="1" applyFill="1" applyBorder="1"/>
    <xf numFmtId="0" fontId="7" fillId="0" borderId="1" xfId="0" applyFont="1" applyBorder="1" applyAlignment="1">
      <alignment horizontal="center"/>
    </xf>
    <xf numFmtId="44" fontId="7" fillId="19" borderId="1" xfId="1" applyFont="1" applyFill="1" applyBorder="1"/>
    <xf numFmtId="0" fontId="7" fillId="0" borderId="13" xfId="0" applyFont="1" applyBorder="1"/>
    <xf numFmtId="0" fontId="7" fillId="0" borderId="12" xfId="0" applyFont="1" applyBorder="1"/>
    <xf numFmtId="44" fontId="7" fillId="3" borderId="9" xfId="0" applyNumberFormat="1" applyFont="1" applyFill="1" applyBorder="1"/>
    <xf numFmtId="0" fontId="7" fillId="0" borderId="1" xfId="0" applyFont="1" applyBorder="1"/>
    <xf numFmtId="2" fontId="7" fillId="0" borderId="0" xfId="0" applyNumberFormat="1" applyFont="1"/>
    <xf numFmtId="0" fontId="7" fillId="0" borderId="0" xfId="0" applyFont="1" applyAlignment="1">
      <alignment horizontal="center"/>
    </xf>
    <xf numFmtId="0" fontId="7" fillId="3" borderId="0" xfId="0" applyFont="1" applyFill="1"/>
    <xf numFmtId="164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44" fontId="7" fillId="0" borderId="0" xfId="0" applyNumberFormat="1" applyFont="1"/>
    <xf numFmtId="164" fontId="23" fillId="14" borderId="1" xfId="0" applyNumberFormat="1" applyFont="1" applyFill="1" applyBorder="1" applyAlignment="1">
      <alignment horizontal="center"/>
    </xf>
    <xf numFmtId="44" fontId="7" fillId="9" borderId="1" xfId="0" applyNumberFormat="1" applyFont="1" applyFill="1" applyBorder="1"/>
    <xf numFmtId="0" fontId="23" fillId="0" borderId="1" xfId="0" applyFont="1" applyBorder="1" applyAlignment="1">
      <alignment horizontal="center" vertical="center"/>
    </xf>
    <xf numFmtId="43" fontId="23" fillId="0" borderId="0" xfId="2" applyFont="1" applyAlignment="1">
      <alignment horizontal="left"/>
    </xf>
    <xf numFmtId="0" fontId="23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/>
    </xf>
    <xf numFmtId="44" fontId="7" fillId="3" borderId="1" xfId="2" applyNumberFormat="1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left"/>
    </xf>
    <xf numFmtId="0" fontId="23" fillId="3" borderId="1" xfId="0" applyFont="1" applyFill="1" applyBorder="1" applyAlignment="1">
      <alignment horizontal="center" vertical="center"/>
    </xf>
    <xf numFmtId="43" fontId="23" fillId="3" borderId="1" xfId="2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44" fontId="23" fillId="0" borderId="1" xfId="0" applyNumberFormat="1" applyFont="1" applyBorder="1"/>
    <xf numFmtId="14" fontId="6" fillId="3" borderId="1" xfId="0" applyNumberFormat="1" applyFont="1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" fontId="2" fillId="0" borderId="1" xfId="0" applyNumberFormat="1" applyFont="1" applyBorder="1"/>
    <xf numFmtId="0" fontId="23" fillId="9" borderId="1" xfId="0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3" fillId="7" borderId="16" xfId="0" applyFont="1" applyFill="1" applyBorder="1" applyAlignment="1">
      <alignment horizontal="center" vertical="center"/>
    </xf>
    <xf numFmtId="49" fontId="23" fillId="10" borderId="1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44" fontId="23" fillId="3" borderId="1" xfId="0" applyNumberFormat="1" applyFont="1" applyFill="1" applyBorder="1" applyAlignment="1">
      <alignment horizontal="center"/>
    </xf>
    <xf numFmtId="0" fontId="42" fillId="3" borderId="1" xfId="0" applyFont="1" applyFill="1" applyBorder="1" applyAlignment="1">
      <alignment horizontal="left"/>
    </xf>
    <xf numFmtId="0" fontId="7" fillId="0" borderId="0" xfId="0" applyFont="1" applyBorder="1"/>
    <xf numFmtId="44" fontId="21" fillId="2" borderId="1" xfId="1" applyFont="1" applyFill="1" applyBorder="1" applyAlignment="1">
      <alignment horizontal="center" vertical="center"/>
    </xf>
    <xf numFmtId="44" fontId="21" fillId="2" borderId="2" xfId="1" applyFont="1" applyFill="1" applyBorder="1" applyAlignment="1">
      <alignment horizontal="center" vertical="center"/>
    </xf>
    <xf numFmtId="44" fontId="23" fillId="0" borderId="0" xfId="1" applyFont="1"/>
    <xf numFmtId="44" fontId="23" fillId="3" borderId="0" xfId="1" applyFont="1" applyFill="1" applyAlignment="1">
      <alignment horizontal="center"/>
    </xf>
    <xf numFmtId="44" fontId="0" fillId="0" borderId="0" xfId="1" applyFont="1"/>
    <xf numFmtId="44" fontId="23" fillId="2" borderId="1" xfId="1" applyFont="1" applyFill="1" applyBorder="1" applyAlignment="1">
      <alignment horizontal="center" vertical="center"/>
    </xf>
    <xf numFmtId="44" fontId="23" fillId="18" borderId="1" xfId="1" applyFont="1" applyFill="1" applyBorder="1" applyAlignment="1">
      <alignment horizontal="center"/>
    </xf>
    <xf numFmtId="44" fontId="7" fillId="0" borderId="0" xfId="1" applyFont="1"/>
    <xf numFmtId="0" fontId="23" fillId="20" borderId="1" xfId="0" applyFont="1" applyFill="1" applyBorder="1" applyAlignment="1">
      <alignment horizontal="left"/>
    </xf>
    <xf numFmtId="43" fontId="0" fillId="20" borderId="0" xfId="0" applyNumberFormat="1" applyFill="1"/>
    <xf numFmtId="164" fontId="23" fillId="20" borderId="1" xfId="0" applyNumberFormat="1" applyFont="1" applyFill="1" applyBorder="1" applyAlignment="1">
      <alignment horizontal="left"/>
    </xf>
    <xf numFmtId="43" fontId="23" fillId="20" borderId="1" xfId="2" applyFont="1" applyFill="1" applyBorder="1" applyAlignment="1">
      <alignment horizontal="left"/>
    </xf>
    <xf numFmtId="43" fontId="42" fillId="0" borderId="0" xfId="2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/>
    </xf>
    <xf numFmtId="44" fontId="30" fillId="3" borderId="1" xfId="1" applyFont="1" applyFill="1" applyBorder="1" applyAlignment="1">
      <alignment horizontal="center"/>
    </xf>
    <xf numFmtId="44" fontId="1" fillId="3" borderId="0" xfId="1" applyFont="1" applyFill="1"/>
    <xf numFmtId="44" fontId="1" fillId="3" borderId="1" xfId="1" applyFont="1" applyFill="1" applyBorder="1"/>
    <xf numFmtId="44" fontId="32" fillId="3" borderId="1" xfId="1" applyFont="1" applyFill="1" applyBorder="1"/>
    <xf numFmtId="43" fontId="23" fillId="3" borderId="12" xfId="2" applyFont="1" applyFill="1" applyBorder="1" applyAlignment="1">
      <alignment horizontal="center"/>
    </xf>
    <xf numFmtId="44" fontId="23" fillId="0" borderId="0" xfId="0" applyNumberFormat="1" applyFont="1"/>
    <xf numFmtId="43" fontId="23" fillId="0" borderId="1" xfId="2" applyFont="1" applyBorder="1" applyAlignment="1">
      <alignment horizontal="left"/>
    </xf>
    <xf numFmtId="43" fontId="23" fillId="3" borderId="1" xfId="2" applyFont="1" applyFill="1" applyBorder="1" applyAlignment="1">
      <alignment horizontal="center"/>
    </xf>
    <xf numFmtId="164" fontId="0" fillId="3" borderId="0" xfId="0" applyNumberFormat="1" applyFill="1"/>
    <xf numFmtId="0" fontId="21" fillId="2" borderId="1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43" fontId="0" fillId="3" borderId="0" xfId="0" applyNumberFormat="1" applyFill="1"/>
    <xf numFmtId="164" fontId="27" fillId="3" borderId="1" xfId="0" applyNumberFormat="1" applyFont="1" applyFill="1" applyBorder="1" applyAlignment="1">
      <alignment horizontal="center"/>
    </xf>
    <xf numFmtId="164" fontId="23" fillId="3" borderId="0" xfId="2" applyNumberFormat="1" applyFont="1" applyFill="1"/>
    <xf numFmtId="164" fontId="27" fillId="3" borderId="7" xfId="0" applyNumberFormat="1" applyFont="1" applyFill="1" applyBorder="1" applyAlignment="1">
      <alignment horizontal="center"/>
    </xf>
    <xf numFmtId="9" fontId="0" fillId="3" borderId="0" xfId="0" applyNumberFormat="1" applyFill="1"/>
    <xf numFmtId="10" fontId="0" fillId="3" borderId="0" xfId="0" applyNumberFormat="1" applyFill="1"/>
    <xf numFmtId="44" fontId="1" fillId="3" borderId="1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32" fillId="3" borderId="1" xfId="1" applyFont="1" applyFill="1" applyBorder="1" applyAlignment="1">
      <alignment horizontal="center"/>
    </xf>
    <xf numFmtId="4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166" fontId="23" fillId="3" borderId="0" xfId="3" applyNumberFormat="1" applyFont="1" applyFill="1" applyAlignment="1">
      <alignment horizontal="center"/>
    </xf>
    <xf numFmtId="166" fontId="46" fillId="2" borderId="2" xfId="3" applyNumberFormat="1" applyFont="1" applyFill="1" applyBorder="1" applyAlignment="1">
      <alignment horizontal="center" vertical="center"/>
    </xf>
    <xf numFmtId="166" fontId="46" fillId="2" borderId="8" xfId="3" applyNumberFormat="1" applyFont="1" applyFill="1" applyBorder="1" applyAlignment="1">
      <alignment horizontal="center" vertical="center"/>
    </xf>
    <xf numFmtId="166" fontId="45" fillId="3" borderId="1" xfId="3" applyNumberFormat="1" applyFont="1" applyFill="1" applyBorder="1" applyAlignment="1">
      <alignment horizontal="center"/>
    </xf>
    <xf numFmtId="166" fontId="27" fillId="3" borderId="1" xfId="3" applyNumberFormat="1" applyFont="1" applyFill="1" applyBorder="1" applyAlignment="1">
      <alignment horizontal="center"/>
    </xf>
    <xf numFmtId="166" fontId="23" fillId="3" borderId="1" xfId="3" applyNumberFormat="1" applyFont="1" applyFill="1" applyBorder="1" applyAlignment="1">
      <alignment horizontal="center"/>
    </xf>
    <xf numFmtId="166" fontId="30" fillId="3" borderId="1" xfId="3" applyNumberFormat="1" applyFont="1" applyFill="1" applyBorder="1" applyAlignment="1">
      <alignment horizontal="center"/>
    </xf>
    <xf numFmtId="166" fontId="23" fillId="0" borderId="1" xfId="3" applyNumberFormat="1" applyFont="1" applyBorder="1" applyAlignment="1">
      <alignment horizontal="center"/>
    </xf>
    <xf numFmtId="166" fontId="0" fillId="0" borderId="0" xfId="3" applyNumberFormat="1" applyFont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166" fontId="21" fillId="2" borderId="1" xfId="3" applyNumberFormat="1" applyFont="1" applyFill="1" applyBorder="1" applyAlignment="1">
      <alignment horizontal="center" vertical="center"/>
    </xf>
    <xf numFmtId="166" fontId="24" fillId="3" borderId="1" xfId="3" applyNumberFormat="1" applyFont="1" applyFill="1" applyBorder="1"/>
    <xf numFmtId="166" fontId="0" fillId="3" borderId="1" xfId="3" applyNumberFormat="1" applyFont="1" applyFill="1" applyBorder="1"/>
    <xf numFmtId="166" fontId="0" fillId="3" borderId="0" xfId="3" applyNumberFormat="1" applyFont="1" applyFill="1"/>
    <xf numFmtId="166" fontId="0" fillId="0" borderId="0" xfId="3" applyNumberFormat="1" applyFont="1"/>
    <xf numFmtId="0" fontId="23" fillId="0" borderId="12" xfId="0" applyFont="1" applyBorder="1" applyAlignment="1">
      <alignment horizontal="center"/>
    </xf>
    <xf numFmtId="164" fontId="27" fillId="3" borderId="9" xfId="0" applyNumberFormat="1" applyFont="1" applyFill="1" applyBorder="1" applyAlignment="1">
      <alignment horizontal="center"/>
    </xf>
    <xf numFmtId="164" fontId="27" fillId="3" borderId="18" xfId="0" applyNumberFormat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 vertical="center"/>
    </xf>
    <xf numFmtId="166" fontId="21" fillId="2" borderId="2" xfId="3" applyNumberFormat="1" applyFont="1" applyFill="1" applyBorder="1" applyAlignment="1">
      <alignment horizontal="center" vertical="center"/>
    </xf>
    <xf numFmtId="166" fontId="23" fillId="3" borderId="1" xfId="3" applyNumberFormat="1" applyFont="1" applyFill="1" applyBorder="1"/>
    <xf numFmtId="44" fontId="23" fillId="0" borderId="1" xfId="1" applyFont="1" applyBorder="1" applyAlignment="1">
      <alignment horizontal="center"/>
    </xf>
    <xf numFmtId="44" fontId="23" fillId="0" borderId="1" xfId="1" applyFont="1" applyBorder="1"/>
    <xf numFmtId="44" fontId="23" fillId="3" borderId="1" xfId="1" applyFont="1" applyFill="1" applyBorder="1"/>
    <xf numFmtId="2" fontId="38" fillId="3" borderId="0" xfId="0" applyNumberFormat="1" applyFont="1" applyFill="1"/>
    <xf numFmtId="2" fontId="38" fillId="3" borderId="0" xfId="2" applyNumberFormat="1" applyFont="1" applyFill="1"/>
    <xf numFmtId="0" fontId="38" fillId="3" borderId="0" xfId="0" applyFont="1" applyFill="1"/>
    <xf numFmtId="2" fontId="40" fillId="3" borderId="0" xfId="0" applyNumberFormat="1" applyFont="1" applyFill="1"/>
    <xf numFmtId="2" fontId="35" fillId="3" borderId="0" xfId="0" applyNumberFormat="1" applyFont="1" applyFill="1"/>
    <xf numFmtId="0" fontId="35" fillId="3" borderId="0" xfId="0" applyFont="1" applyFill="1"/>
    <xf numFmtId="44" fontId="23" fillId="3" borderId="0" xfId="1" applyFont="1" applyFill="1"/>
    <xf numFmtId="43" fontId="36" fillId="3" borderId="0" xfId="2" applyFont="1" applyFill="1"/>
    <xf numFmtId="44" fontId="0" fillId="3" borderId="0" xfId="1" applyFont="1" applyFill="1"/>
    <xf numFmtId="44" fontId="33" fillId="3" borderId="1" xfId="1" applyFont="1" applyFill="1" applyBorder="1"/>
    <xf numFmtId="44" fontId="15" fillId="3" borderId="0" xfId="1" applyFont="1" applyFill="1"/>
    <xf numFmtId="166" fontId="0" fillId="3" borderId="2" xfId="3" applyNumberFormat="1" applyFont="1" applyFill="1" applyBorder="1"/>
    <xf numFmtId="43" fontId="23" fillId="3" borderId="2" xfId="2" applyFont="1" applyFill="1" applyBorder="1" applyAlignment="1">
      <alignment horizontal="left"/>
    </xf>
    <xf numFmtId="0" fontId="23" fillId="3" borderId="2" xfId="0" applyFont="1" applyFill="1" applyBorder="1" applyAlignment="1">
      <alignment horizontal="center" vertical="center"/>
    </xf>
    <xf numFmtId="44" fontId="1" fillId="3" borderId="2" xfId="1" applyFont="1" applyFill="1" applyBorder="1"/>
    <xf numFmtId="0" fontId="23" fillId="0" borderId="1" xfId="0" applyFont="1" applyBorder="1" applyAlignment="1">
      <alignment horizontal="center"/>
    </xf>
    <xf numFmtId="44" fontId="23" fillId="3" borderId="1" xfId="0" applyNumberFormat="1" applyFont="1" applyFill="1" applyBorder="1"/>
    <xf numFmtId="9" fontId="0" fillId="3" borderId="1" xfId="0" applyNumberFormat="1" applyFill="1" applyBorder="1"/>
    <xf numFmtId="166" fontId="21" fillId="2" borderId="0" xfId="3" applyNumberFormat="1" applyFont="1" applyFill="1" applyBorder="1" applyAlignment="1">
      <alignment horizontal="center" vertical="center"/>
    </xf>
    <xf numFmtId="166" fontId="21" fillId="2" borderId="14" xfId="3" applyNumberFormat="1" applyFont="1" applyFill="1" applyBorder="1" applyAlignment="1">
      <alignment horizontal="center" vertical="center"/>
    </xf>
    <xf numFmtId="164" fontId="27" fillId="14" borderId="9" xfId="0" applyNumberFormat="1" applyFont="1" applyFill="1" applyBorder="1" applyAlignment="1">
      <alignment horizontal="center"/>
    </xf>
    <xf numFmtId="164" fontId="27" fillId="14" borderId="18" xfId="0" applyNumberFormat="1" applyFont="1" applyFill="1" applyBorder="1" applyAlignment="1">
      <alignment horizontal="center"/>
    </xf>
    <xf numFmtId="44" fontId="23" fillId="3" borderId="1" xfId="1" applyFont="1" applyFill="1" applyBorder="1" applyAlignment="1">
      <alignment horizontal="center"/>
    </xf>
    <xf numFmtId="0" fontId="23" fillId="3" borderId="1" xfId="0" applyFont="1" applyFill="1" applyBorder="1"/>
    <xf numFmtId="0" fontId="21" fillId="11" borderId="1" xfId="0" applyFont="1" applyFill="1" applyBorder="1" applyAlignment="1">
      <alignment horizontal="center" vertical="center"/>
    </xf>
    <xf numFmtId="44" fontId="21" fillId="11" borderId="1" xfId="1" applyFont="1" applyFill="1" applyBorder="1" applyAlignment="1">
      <alignment horizontal="center" vertical="center"/>
    </xf>
    <xf numFmtId="0" fontId="24" fillId="11" borderId="1" xfId="0" applyFont="1" applyFill="1" applyBorder="1"/>
    <xf numFmtId="166" fontId="24" fillId="11" borderId="1" xfId="3" applyNumberFormat="1" applyFont="1" applyFill="1" applyBorder="1"/>
    <xf numFmtId="0" fontId="24" fillId="11" borderId="0" xfId="0" applyFont="1" applyFill="1"/>
    <xf numFmtId="0" fontId="0" fillId="11" borderId="0" xfId="0" applyFill="1"/>
    <xf numFmtId="0" fontId="16" fillId="11" borderId="0" xfId="0" applyFont="1" applyFill="1"/>
    <xf numFmtId="0" fontId="35" fillId="11" borderId="0" xfId="0" applyFont="1" applyFill="1"/>
    <xf numFmtId="166" fontId="21" fillId="11" borderId="1" xfId="3" applyNumberFormat="1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44" fontId="30" fillId="3" borderId="2" xfId="1" applyFont="1" applyFill="1" applyBorder="1" applyAlignment="1">
      <alignment horizontal="center"/>
    </xf>
    <xf numFmtId="0" fontId="12" fillId="3" borderId="0" xfId="0" applyFont="1" applyFill="1"/>
    <xf numFmtId="0" fontId="10" fillId="3" borderId="0" xfId="0" applyFont="1" applyFill="1"/>
    <xf numFmtId="44" fontId="27" fillId="11" borderId="1" xfId="1" applyFont="1" applyFill="1" applyBorder="1"/>
    <xf numFmtId="9" fontId="7" fillId="3" borderId="1" xfId="3" applyFont="1" applyFill="1" applyBorder="1" applyAlignment="1">
      <alignment horizontal="center"/>
    </xf>
    <xf numFmtId="166" fontId="7" fillId="0" borderId="0" xfId="3" applyNumberFormat="1" applyFont="1" applyAlignment="1">
      <alignment horizontal="center"/>
    </xf>
    <xf numFmtId="43" fontId="23" fillId="3" borderId="0" xfId="2" applyFont="1" applyFill="1" applyAlignment="1">
      <alignment horizontal="left"/>
    </xf>
    <xf numFmtId="44" fontId="30" fillId="16" borderId="1" xfId="1" applyFont="1" applyFill="1" applyBorder="1" applyAlignment="1">
      <alignment horizontal="center"/>
    </xf>
    <xf numFmtId="44" fontId="27" fillId="16" borderId="1" xfId="1" applyFont="1" applyFill="1" applyBorder="1"/>
    <xf numFmtId="44" fontId="23" fillId="16" borderId="1" xfId="1" applyFont="1" applyFill="1" applyBorder="1"/>
    <xf numFmtId="44" fontId="23" fillId="16" borderId="0" xfId="1" applyFont="1" applyFill="1"/>
    <xf numFmtId="44" fontId="23" fillId="16" borderId="2" xfId="1" applyFont="1" applyFill="1" applyBorder="1"/>
    <xf numFmtId="44" fontId="23" fillId="16" borderId="1" xfId="0" applyNumberFormat="1" applyFont="1" applyFill="1" applyBorder="1"/>
    <xf numFmtId="164" fontId="45" fillId="16" borderId="1" xfId="0" applyNumberFormat="1" applyFont="1" applyFill="1" applyBorder="1" applyAlignment="1">
      <alignment horizontal="center"/>
    </xf>
    <xf numFmtId="164" fontId="27" fillId="16" borderId="1" xfId="0" applyNumberFormat="1" applyFont="1" applyFill="1" applyBorder="1" applyAlignment="1">
      <alignment horizontal="center"/>
    </xf>
    <xf numFmtId="164" fontId="23" fillId="16" borderId="1" xfId="0" applyNumberFormat="1" applyFont="1" applyFill="1" applyBorder="1" applyAlignment="1">
      <alignment horizontal="center"/>
    </xf>
    <xf numFmtId="164" fontId="23" fillId="16" borderId="1" xfId="2" applyNumberFormat="1" applyFont="1" applyFill="1" applyBorder="1" applyAlignment="1">
      <alignment horizontal="center"/>
    </xf>
    <xf numFmtId="44" fontId="23" fillId="16" borderId="1" xfId="0" applyNumberFormat="1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 vertical="center"/>
    </xf>
    <xf numFmtId="166" fontId="23" fillId="16" borderId="1" xfId="3" applyNumberFormat="1" applyFont="1" applyFill="1" applyBorder="1" applyAlignment="1">
      <alignment horizontal="center" vertical="center"/>
    </xf>
    <xf numFmtId="44" fontId="23" fillId="3" borderId="1" xfId="2" applyNumberFormat="1" applyFont="1" applyFill="1" applyBorder="1" applyAlignment="1">
      <alignment horizontal="center"/>
    </xf>
    <xf numFmtId="43" fontId="23" fillId="3" borderId="1" xfId="2" applyFont="1" applyFill="1" applyBorder="1" applyAlignment="1">
      <alignment horizontal="center"/>
    </xf>
    <xf numFmtId="44" fontId="1" fillId="3" borderId="1" xfId="1" quotePrefix="1" applyFont="1" applyFill="1" applyBorder="1" applyAlignment="1">
      <alignment horizontal="center"/>
    </xf>
    <xf numFmtId="44" fontId="23" fillId="16" borderId="1" xfId="1" applyFont="1" applyFill="1" applyBorder="1" applyAlignment="1">
      <alignment horizontal="center"/>
    </xf>
    <xf numFmtId="44" fontId="33" fillId="16" borderId="1" xfId="1" applyFont="1" applyFill="1" applyBorder="1" applyAlignment="1">
      <alignment horizontal="center"/>
    </xf>
    <xf numFmtId="44" fontId="23" fillId="0" borderId="1" xfId="1" applyFont="1" applyFill="1" applyBorder="1" applyAlignment="1">
      <alignment horizontal="center"/>
    </xf>
    <xf numFmtId="44" fontId="23" fillId="16" borderId="2" xfId="1" applyFont="1" applyFill="1" applyBorder="1" applyAlignment="1">
      <alignment horizontal="center"/>
    </xf>
    <xf numFmtId="166" fontId="0" fillId="3" borderId="1" xfId="3" applyNumberFormat="1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/>
    </xf>
    <xf numFmtId="44" fontId="23" fillId="10" borderId="1" xfId="1" applyFont="1" applyFill="1" applyBorder="1" applyAlignment="1">
      <alignment horizontal="center"/>
    </xf>
    <xf numFmtId="43" fontId="23" fillId="10" borderId="1" xfId="2" applyFont="1" applyFill="1" applyBorder="1" applyAlignment="1">
      <alignment horizontal="center"/>
    </xf>
    <xf numFmtId="164" fontId="23" fillId="10" borderId="1" xfId="2" applyNumberFormat="1" applyFont="1" applyFill="1" applyBorder="1" applyAlignment="1">
      <alignment horizontal="center"/>
    </xf>
    <xf numFmtId="14" fontId="27" fillId="10" borderId="1" xfId="0" applyNumberFormat="1" applyFont="1" applyFill="1" applyBorder="1" applyAlignment="1">
      <alignment horizontal="center"/>
    </xf>
    <xf numFmtId="44" fontId="7" fillId="3" borderId="1" xfId="2" quotePrefix="1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/>
    </xf>
    <xf numFmtId="44" fontId="4" fillId="3" borderId="1" xfId="2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4" fontId="33" fillId="3" borderId="1" xfId="0" applyNumberFormat="1" applyFont="1" applyFill="1" applyBorder="1" applyAlignment="1">
      <alignment horizontal="center"/>
    </xf>
    <xf numFmtId="43" fontId="8" fillId="3" borderId="0" xfId="0" applyNumberFormat="1" applyFont="1" applyFill="1" applyAlignment="1">
      <alignment horizontal="center"/>
    </xf>
    <xf numFmtId="164" fontId="0" fillId="3" borderId="1" xfId="2" applyNumberFormat="1" applyFont="1" applyFill="1" applyBorder="1" applyAlignment="1">
      <alignment horizontal="center"/>
    </xf>
    <xf numFmtId="0" fontId="23" fillId="10" borderId="1" xfId="0" applyFont="1" applyFill="1" applyBorder="1" applyAlignment="1">
      <alignment horizontal="center"/>
    </xf>
    <xf numFmtId="44" fontId="5" fillId="3" borderId="1" xfId="2" applyNumberFormat="1" applyFont="1" applyFill="1" applyBorder="1" applyAlignment="1">
      <alignment horizontal="center"/>
    </xf>
    <xf numFmtId="164" fontId="23" fillId="10" borderId="2" xfId="2" applyNumberFormat="1" applyFont="1" applyFill="1" applyBorder="1" applyAlignment="1">
      <alignment horizontal="center"/>
    </xf>
    <xf numFmtId="44" fontId="3" fillId="3" borderId="1" xfId="2" applyNumberFormat="1" applyFont="1" applyFill="1" applyBorder="1" applyAlignment="1">
      <alignment horizontal="center"/>
    </xf>
    <xf numFmtId="9" fontId="0" fillId="3" borderId="0" xfId="3" applyFont="1" applyFill="1" applyAlignment="1">
      <alignment horizontal="center"/>
    </xf>
    <xf numFmtId="44" fontId="7" fillId="0" borderId="0" xfId="0" applyNumberFormat="1" applyFont="1" applyAlignment="1">
      <alignment horizontal="center"/>
    </xf>
    <xf numFmtId="8" fontId="0" fillId="0" borderId="0" xfId="0" applyNumberFormat="1"/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rador" id="{5F31C61E-4245-4409-B83E-2FC1A8FD5AE6}" userId="operador" providerId="None"/>
  <person displayName="João Victor Barbosa" id="{7B9FA9F5-FEDC-4BA4-9E76-DAFF7E0C1E74}" userId="40a61b1afeeed13b" providerId="Windows Live"/>
  <person displayName="Aline Barbosa Almeida" id="{706C7CB6-C437-4430-9995-AC2171DFDED8}" userId="5f0d1eeb5d1d59a2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DAEDFA"/>
      </a:lt1>
      <a:dk2>
        <a:srgbClr val="000000"/>
      </a:dk2>
      <a:lt2>
        <a:srgbClr val="DAEDFA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" dT="2025-12-17T15:16:40.01" personId="{706C7CB6-C437-4430-9995-AC2171DFDED8}" id="{1468DC32-06FB-44C6-A3EC-DD66232D1A99}">
    <text>INSUMOS LARA</text>
  </threadedComment>
  <threadedComment ref="I22" dT="2025-12-17T15:22:53.91" personId="{706C7CB6-C437-4430-9995-AC2171DFDED8}" id="{373AC715-9519-40EA-8763-79347CEA070C}">
    <text>INSUMOS NO LARA</text>
  </threadedComment>
  <threadedComment ref="I23" dT="2025-12-17T15:25:48.28" personId="{706C7CB6-C437-4430-9995-AC2171DFDED8}" id="{4A41A4E1-01D7-4B05-9D6B-07B6A1DC108E}">
    <text>INSUMOS LARA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5-12-23T20:20:40.63" personId="{5F31C61E-4245-4409-B83E-2FC1A8FD5AE6}" id="{3BE33DE7-0EA7-4EB9-BD89-DFA6D0F16949}">
    <text>Saldo disponiel pra compensar</text>
  </threadedComment>
  <threadedComment ref="H5" dT="2026-01-06T13:17:01.48" personId="{5F31C61E-4245-4409-B83E-2FC1A8FD5AE6}" id="{7B946D21-7040-4C5A-839F-F37DD247D49D}">
    <text>Desconto de 16.856,11 no proximo boleto- percentual e 15e não 20</text>
  </threadedComment>
  <threadedComment ref="D6" dT="2025-12-30T14:54:44.06" personId="{5F31C61E-4245-4409-B83E-2FC1A8FD5AE6}" id="{917F9E50-2839-45F3-842D-73554D9039E1}">
    <text>Foi a maior c cobrança  8668,10</text>
  </threadedComment>
  <threadedComment ref="E6" dT="2025-12-30T14:55:23.81" personId="{5F31C61E-4245-4409-B83E-2FC1A8FD5AE6}" id="{79831770-71CA-4A62-BC6C-ED43C1B10521}">
    <text>Cobranla a maior 21262,29</text>
  </threadedComment>
  <threadedComment ref="H6" dT="2025-12-30T15:14:53.40" personId="{5F31C61E-4245-4409-B83E-2FC1A8FD5AE6}" id="{1BCBF987-72FC-4963-BE9A-ED386DF9832E}">
    <text>Desconto proximo  boleto de 175,49 e incluir valor honorario compensa pis e cofins 102025</text>
  </threadedComment>
  <threadedComment ref="D7" dT="2025-12-23T19:46:01.46" personId="{5F31C61E-4245-4409-B83E-2FC1A8FD5AE6}" id="{824F53AF-02B6-4F3C-B331-4392C9E5B79F}">
    <text>Saldo credor</text>
  </threadedComment>
  <threadedComment ref="E7" dT="2026-01-28T13:25:21.35" personId="{5F31C61E-4245-4409-B83E-2FC1A8FD5AE6}" id="{D9049228-4BDB-4FBF-9346-29DD16BE75B6}">
    <text xml:space="preserve">VALOR SEM JUROS 57512,77
</text>
  </threadedComment>
  <threadedComment ref="H7" dT="2026-01-28T13:25:41.59" personId="{5F31C61E-4245-4409-B83E-2FC1A8FD5AE6}" id="{98EBB74C-9880-40C0-B90A-34E6F1DD6624}">
    <text>DESCONTAR PROXIMO BOLETO 1195,94- VALOR CORRETO 16263,57</text>
  </threadedComment>
  <threadedComment ref="H9" dT="2026-01-08T17:28:52.59" personId="{5F31C61E-4245-4409-B83E-2FC1A8FD5AE6}" id="{C6EB59B6-D72D-4BD8-B42C-00A503DB583A}">
    <text>15%</text>
  </threadedComment>
  <threadedComment ref="D11" dT="2025-12-23T19:46:13.85" personId="{5F31C61E-4245-4409-B83E-2FC1A8FD5AE6}" id="{D989E059-457C-4542-8B56-6A868F5985F6}">
    <text>Saldo credor pis e cofins</text>
  </threadedComment>
  <threadedComment ref="E11" dT="2026-01-28T19:16:11.54" personId="{5F31C61E-4245-4409-B83E-2FC1A8FD5AE6}" id="{241866C6-00DF-4259-901A-EB053F8BACAC}">
    <text xml:space="preserve">Cliente pagou as guias e descontou honorário, deduzir do proximo boleto 8.312,67
</text>
  </threadedComment>
  <threadedComment ref="H11" dT="2026-01-05T16:10:56.47" personId="{5F31C61E-4245-4409-B83E-2FC1A8FD5AE6}" id="{B67823FC-46C9-4325-8569-15AC24560A2C}">
    <text xml:space="preserve">Desconto de 4118,25 proximo boleto- honorario devria ser 8312,67- empresa pagiu irpj e csll </text>
  </threadedComment>
  <threadedComment ref="C13" dT="2025-12-29T19:53:36.93" personId="{5F31C61E-4245-4409-B83E-2FC1A8FD5AE6}" id="{02C3C040-112C-4E02-BF25-A215EC8ACCFA}">
    <text>Pagou em 18/12</text>
  </threadedComment>
  <threadedComment ref="E13" dT="2025-12-23T20:05:26.58" personId="{5F31C61E-4245-4409-B83E-2FC1A8FD5AE6}" id="{A3784484-3033-4283-BBD1-F8E447694E81}">
    <text>Cota unica</text>
  </threadedComment>
  <threadedComment ref="H14" dT="2026-01-05T19:14:05.95" personId="{5F31C61E-4245-4409-B83E-2FC1A8FD5AE6}" id="{18F6A8DF-3046-45A7-AF80-4290C25814DE}">
    <text>Complemento bolto mês que vem 2815,40</text>
  </threadedComment>
  <threadedComment ref="C16" dT="2025-12-30T14:55:46.73" personId="{5F31C61E-4245-4409-B83E-2FC1A8FD5AE6}" id="{9B6195F4-E3CD-43B8-A43F-4AF6DF5B0967}">
    <text>Confirmar valor com dp</text>
  </threadedComment>
  <threadedComment ref="D16" dT="2025-12-23T19:46:22.83" personId="{5F31C61E-4245-4409-B83E-2FC1A8FD5AE6}" id="{65C97A3E-4997-4094-984C-D6817AD3913C}">
    <text>Saldo credor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1-27T22:35:23.79" personId="{5F31C61E-4245-4409-B83E-2FC1A8FD5AE6}" id="{E283F29C-9B8B-4DD9-ABAF-DC69B6E1E455}">
    <text>ESTIMATIVA</text>
  </threadedComment>
  <threadedComment ref="H4" dT="2026-01-06T13:17:01.48" personId="{5F31C61E-4245-4409-B83E-2FC1A8FD5AE6}" id="{8A2D78A0-DB18-476E-B916-D66655C80500}">
    <text>Desconto de 16.856,11 no proximo boleto- percentual e 15e não 20</text>
  </threadedComment>
  <threadedComment ref="K4" dT="2026-01-27T22:45:37.53" personId="{5F31C61E-4245-4409-B83E-2FC1A8FD5AE6}" id="{48A4093B-51F6-4F09-AAC1-CFB3A46CE5BD}">
    <text>DESCONTO 16856,11_ DIF MÊS ANTERIOR DE PERCENTUAL DE 20 PARA 15</text>
  </threadedComment>
  <threadedComment ref="D5" dT="2025-12-30T14:54:44.06" personId="{5F31C61E-4245-4409-B83E-2FC1A8FD5AE6}" id="{1708DD88-BD28-4A92-8E0F-2020B05E62DC}">
    <text>Foi a maior c cobrança  8668,10</text>
  </threadedComment>
  <threadedComment ref="F5" dT="2026-01-28T17:32:43.89" personId="{5F31C61E-4245-4409-B83E-2FC1A8FD5AE6}" id="{D513AF83-10FF-4AA8-96DE-D5A39D9F72B7}">
    <text>PIS E COFINS MÊS 11/2025 NÃO COBRADO</text>
  </threadedComment>
  <threadedComment ref="G5" dT="2026-02-12T15:46:37.71" personId="{5F31C61E-4245-4409-B83E-2FC1A8FD5AE6}" id="{4A07C25F-36CA-4807-B225-66809DD191F0}">
    <text>Desconto de 15549,49- boleto jan em fev</text>
  </threadedComment>
  <threadedComment ref="H5" dT="2025-12-30T15:14:53.40" personId="{5F31C61E-4245-4409-B83E-2FC1A8FD5AE6}" id="{BB2E7BE5-17C0-4CF3-9358-D2BB092C354F}">
    <text>Desconto proximo  boleto de 175,49 e incluir valor honorario compensa pis e cofins 102025</text>
  </threadedComment>
  <threadedComment ref="K5" dT="2026-01-27T22:46:09.00" personId="{5F31C61E-4245-4409-B83E-2FC1A8FD5AE6}" id="{29A4FFCD-B588-4108-9D8E-AA545E399250}">
    <text xml:space="preserve">DESCONTO 175,49( DIF MÊS ANTERIOR)
</text>
  </threadedComment>
  <threadedComment ref="D6" dT="2026-01-24T02:07:35.93" personId="{5F31C61E-4245-4409-B83E-2FC1A8FD5AE6}" id="{C2C8CFC9-817A-4FA7-9A52-0ECB7C406D0B}">
    <text>Saldo credor 12/2025 segundo o fiscal</text>
  </threadedComment>
  <threadedComment ref="H6" dT="2026-01-28T13:26:38.28" personId="{5F31C61E-4245-4409-B83E-2FC1A8FD5AE6}" id="{2C3B8984-CF37-488C-BDB4-B4CE2749E23D}">
    <text>DESCONTAR 1195,94</text>
  </threadedComment>
  <threadedComment ref="K6" dT="2026-02-02T16:43:42.28" personId="{5F31C61E-4245-4409-B83E-2FC1A8FD5AE6}" id="{FD519444-88D0-4D38-8BE2-75BBE4ADECBE}">
    <text>Descontar 20.179,25, a epresa pagou irpj e csll, descontar nos proximos boletos</text>
  </threadedComment>
  <threadedComment ref="E7" dT="2026-01-27T22:34:46.33" personId="{5F31C61E-4245-4409-B83E-2FC1A8FD5AE6}" id="{0E46CC11-88F2-4B40-8F7D-D40C0DF9B919}">
    <text>PREJUIZO</text>
  </threadedComment>
  <threadedComment ref="H8" dT="2026-01-08T17:28:52.59" personId="{5F31C61E-4245-4409-B83E-2FC1A8FD5AE6}" id="{6F8874D1-CAA4-4340-88F5-6704437451F6}">
    <text>15%</text>
  </threadedComment>
  <threadedComment ref="D10" dT="2026-01-24T02:07:31.18" personId="{5F31C61E-4245-4409-B83E-2FC1A8FD5AE6}" id="{DD3F8168-8A6B-46D4-AEB1-13588FE9DC5F}">
    <text>Saldo credor 12/2025 segundo o fiscal</text>
  </threadedComment>
  <threadedComment ref="H10" dT="2026-01-05T16:10:56.47" personId="{5F31C61E-4245-4409-B83E-2FC1A8FD5AE6}" id="{2C7AD858-FA45-4FBD-86D8-48F0A5B09B8D}">
    <text xml:space="preserve">Desconto de 4118,25 proximo boleto- honorario devria ser 8312,67- empresa pagiu irpj e csll </text>
  </threadedComment>
  <threadedComment ref="E12" dT="2025-12-23T20:05:26.58" personId="{5F31C61E-4245-4409-B83E-2FC1A8FD5AE6}" id="{44C2A60C-4E67-4DA8-ACC6-431ABCE17983}">
    <text>Cota unica</text>
  </threadedComment>
  <threadedComment ref="H13" dT="2026-01-05T19:14:05.95" personId="{5F31C61E-4245-4409-B83E-2FC1A8FD5AE6}" id="{D7FD899A-567B-450B-ADC9-B859332116EF}">
    <text>Complemento bolto mês que vem 2815,40</text>
  </threadedComment>
  <threadedComment ref="K13" dT="2026-01-27T22:49:51.04" personId="{5F31C61E-4245-4409-B83E-2FC1A8FD5AE6}" id="{D7E38610-7C49-4F8F-9153-FE55D55798FC}">
    <text>Acréscimo 2.815,40( dif mês anterior a menor)</text>
  </threadedComment>
  <threadedComment ref="P13" dT="2026-01-27T21:12:47.04" personId="{5F31C61E-4245-4409-B83E-2FC1A8FD5AE6}" id="{B5D5FF9D-A64F-498D-8FC8-E66402AD1E00}">
    <text>Exclui 12932,00 saldo dos insumos</text>
  </threadedComment>
  <threadedComment ref="D15" dT="2026-01-24T02:07:53.26" personId="{5F31C61E-4245-4409-B83E-2FC1A8FD5AE6}" id="{7679F96B-8523-471A-94BD-698ACB632AF8}">
    <text>Saldo credor 12/2025 segundo o fiscal</text>
  </threadedComment>
  <threadedComment ref="O15" dT="2026-01-28T18:17:25.03" personId="{5F31C61E-4245-4409-B83E-2FC1A8FD5AE6}" id="{408C6471-95B4-48F5-8136-4219AF5B23D3}">
    <text>26019,62- soma de valor de insumos</text>
  </threadedComment>
  <threadedComment ref="O16" dT="2026-01-28T18:51:55.89" personId="{5F31C61E-4245-4409-B83E-2FC1A8FD5AE6}" id="{235CE347-37CE-4C65-B852-C8CDB2BAAB0A}">
    <text>33872,15- + saldo insumos que acabou</text>
  </threadedComment>
  <threadedComment ref="D17" dT="2026-01-24T02:08:07.01" personId="{5F31C61E-4245-4409-B83E-2FC1A8FD5AE6}" id="{2409B152-1FF2-4ABF-A5C0-34EB8CBDAE4A}">
    <text xml:space="preserve">Não vai compensar </text>
  </threadedComment>
  <threadedComment ref="E17" dT="2026-01-28T13:51:49.75" personId="{5F31C61E-4245-4409-B83E-2FC1A8FD5AE6}" id="{4AC12DAD-C2FF-46B0-83B8-1CD86026B2A1}">
    <text>Não vai compensar</text>
  </threadedComment>
  <threadedComment ref="C18" dT="2026-01-29T14:51:23.41" personId="{5F31C61E-4245-4409-B83E-2FC1A8FD5AE6}" id="{2F8144CE-BF90-47F0-8B44-D73897071643}">
    <text>Cancelar compensao 5952 e 1708 258,23 e 13,27</text>
  </threadedComment>
  <threadedComment ref="O18" dT="2026-01-27T21:55:32.45" personId="{5F31C61E-4245-4409-B83E-2FC1A8FD5AE6}" id="{BC6A8755-9293-4013-894B-8862C09882A8}">
    <text>Inclui 59965,46( saldo cred icms ex da bc)</text>
  </threadedComment>
  <threadedComment ref="D19" dT="2026-01-24T02:07:03.05" personId="{5F31C61E-4245-4409-B83E-2FC1A8FD5AE6}" id="{56BB423B-02E4-44D0-A5E8-B90E80AA11D9}">
    <text>Saldo credor 12/2025 segundo o fiscal</text>
  </threadedComment>
  <threadedComment ref="O19" dT="2026-01-28T23:08:48.68" personId="{5F31C61E-4245-4409-B83E-2FC1A8FD5AE6}" id="{FD760A8F-7EB5-46A9-AD09-1DA9EAE4B279}">
    <text>+ 2283,29 icms st da bc pis e cofins</text>
  </threadedComment>
  <threadedComment ref="D20" dT="2026-01-24T02:07:07.71" personId="{5F31C61E-4245-4409-B83E-2FC1A8FD5AE6}" id="{67C49FDA-F936-456E-A03A-61250EB17C3F}">
    <text>Saldo credor 12/2025 segundo o fiscal</text>
  </threadedComment>
  <threadedComment ref="F20" dT="2026-01-28T17:32:59.47" personId="{5F31C61E-4245-4409-B83E-2FC1A8FD5AE6}" id="{91A1748B-F14E-44C3-B56D-8C01D1A86B30}">
    <text>IRPJ E CSLL 3 TRIM 2 ULTIMAS COTAS EM ABERTO</text>
  </threadedComment>
  <threadedComment ref="O20" dT="2026-01-27T22:32:18.00" personId="{5F31C61E-4245-4409-B83E-2FC1A8FD5AE6}" id="{79EB265C-F065-4C6A-AE2F-F8E39A81F9EB}">
    <text>Soma 6( credi 444,12(insumos e 12131 ,07
icms st da bc)</text>
  </threadedComment>
  <threadedComment ref="D21" dT="2026-01-24T02:07:12.41" personId="{5F31C61E-4245-4409-B83E-2FC1A8FD5AE6}" id="{3971804E-1EE7-4927-B0CE-CA23F76BB5CF}">
    <text>Saldo credor 12/2025 segundo o fiscal</text>
  </threadedComment>
  <threadedComment ref="F21" dT="2026-01-28T17:33:05.03" personId="{5F31C61E-4245-4409-B83E-2FC1A8FD5AE6}" id="{3E4570E6-46D4-4D5E-B67D-FE32BFA63ED2}">
    <text xml:space="preserve">IRPJ E CSLL 3 TRIM 2 ULTIMAS COTAS EM ABERTO
</text>
  </threadedComment>
  <threadedComment ref="O21" dT="2026-01-27T23:13:23.61" personId="{5F31C61E-4245-4409-B83E-2FC1A8FD5AE6}" id="{2EB64E9B-11CA-420F-AEE2-75D52DC847D5}">
    <text>2166,12 saldo credi icms st da bc pis e cof</text>
  </threadedComment>
  <threadedComment ref="D22" dT="2026-01-24T02:07:17.47" personId="{5F31C61E-4245-4409-B83E-2FC1A8FD5AE6}" id="{1CCA6562-B03D-4C97-A4E5-E0A51AB1BA0F}">
    <text>Saldo credor 12/2025 segundo o fiscal</text>
  </threadedComment>
  <threadedComment ref="F22" dT="2026-01-28T17:33:09.48" personId="{5F31C61E-4245-4409-B83E-2FC1A8FD5AE6}" id="{C1117894-7035-4296-958A-FD253B72B881}">
    <text xml:space="preserve">IRPJ E CSLL 3 TRIM 2 ULTIMAS COTAS EM ABERTO
</text>
  </threadedComment>
  <threadedComment ref="O22" dT="2026-01-27T23:48:36.15" personId="{5F31C61E-4245-4409-B83E-2FC1A8FD5AE6}" id="{73C66DAE-2DA9-4AFB-8687-690442438ABC}">
    <text>+ 4879,67( cred icms st da bc pis e cofins)</text>
  </threadedComment>
  <threadedComment ref="D23" dT="2026-01-24T02:07:22.43" personId="{5F31C61E-4245-4409-B83E-2FC1A8FD5AE6}" id="{ADD2449F-3D31-4BA6-AE86-4601946E7D00}">
    <text>Saldo credor 12/2025 segundo o fiscal</text>
  </threadedComment>
  <threadedComment ref="F23" dT="2026-01-28T17:33:14.87" personId="{5F31C61E-4245-4409-B83E-2FC1A8FD5AE6}" id="{9F1DAFFC-4326-4BBC-9824-753835A48FB5}">
    <text xml:space="preserve">IRPJ E CSLL 3 TRIM 2 ULTIMAS COTAS EM ABERTO
</text>
  </threadedComment>
  <threadedComment ref="O23" dT="2026-01-28T00:59:01.40" personId="{5F31C61E-4245-4409-B83E-2FC1A8FD5AE6}" id="{1C4E2501-24C0-40DD-BFD6-539ABEF9BB96}">
    <text>23459,96- + saldo icms st da base</text>
  </threadedComment>
  <threadedComment ref="D24" dT="2026-01-24T02:54:47.08" personId="{5F31C61E-4245-4409-B83E-2FC1A8FD5AE6}" id="{80500E2F-6BC4-4F09-853B-015E217F1BB1}">
    <text xml:space="preserve">Saldo credor 12/2025 segundo o fiscal
</text>
  </threadedComment>
  <threadedComment ref="F24" dT="2026-01-28T17:33:19.99" personId="{5F31C61E-4245-4409-B83E-2FC1A8FD5AE6}" id="{616F9D17-93A4-4FFD-83A5-C8F863A26787}">
    <text xml:space="preserve">IRPJ E CSLL 3 TRIM 2 ULTIMAS COTAS EM ABERTO
</text>
  </threadedComment>
  <threadedComment ref="D25" dT="2026-01-24T02:54:16.30" personId="{5F31C61E-4245-4409-B83E-2FC1A8FD5AE6}" id="{D2E7A2BA-8625-4CA3-ADBA-DC85C812266A}">
    <text>credor</text>
  </threadedComment>
  <threadedComment ref="E25" dT="2026-01-29T18:26:23.66" personId="{5F31C61E-4245-4409-B83E-2FC1A8FD5AE6}" id="{F5BEB1F3-E061-4830-93C5-A4F881132986}">
    <text>Estimativa mensal</text>
  </threadedComment>
  <threadedComment ref="D26" dT="2026-01-24T02:54:26.74" personId="{5F31C61E-4245-4409-B83E-2FC1A8FD5AE6}" id="{374B7508-C5A6-4B44-B13D-12780AF14B08}">
    <text>credor</text>
  </threadedComment>
  <threadedComment ref="E26" dT="2026-01-29T16:55:00.06" personId="{5F31C61E-4245-4409-B83E-2FC1A8FD5AE6}" id="{06D3EED6-80C2-451C-9C93-C5B179F31E4F}">
    <text>Prejuizo fiscal</text>
  </threadedComment>
  <threadedComment ref="D27" dT="2026-01-24T02:54:33.78" personId="{5F31C61E-4245-4409-B83E-2FC1A8FD5AE6}" id="{3E0CE559-75C4-432F-879D-0D08621A27E8}">
    <text>credor</text>
  </threadedComment>
  <threadedComment ref="E27" dT="2026-01-29T18:26:13.87" personId="{5F31C61E-4245-4409-B83E-2FC1A8FD5AE6}" id="{6146F211-AAE2-4ABA-A26A-B4E3AB94BACE}">
    <text>Estimativa mensal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6-02-20T18:12:45.32" personId="{5F31C61E-4245-4409-B83E-2FC1A8FD5AE6}" id="{DDB274CE-9139-4FB2-BA11-C8EC568CDB08}">
    <text>781,97 5952 e 220,99 1708</text>
  </threadedComment>
  <threadedComment ref="H4" dT="2026-01-06T13:17:01.48" personId="{5F31C61E-4245-4409-B83E-2FC1A8FD5AE6}" id="{96060804-2E37-4A26-B710-D5A081C071E5}">
    <text>Desconto de 16.856,11 no proximo boleto- percentual e 15e não 20</text>
  </threadedComment>
  <threadedComment ref="D5" dT="2025-12-30T14:54:44.06" personId="{5F31C61E-4245-4409-B83E-2FC1A8FD5AE6}" id="{440376EB-487D-401F-9ECF-492D01BBD6A0}">
    <text>Foi a maior c cobrança  8668,10</text>
  </threadedComment>
  <threadedComment ref="G5" dT="2026-02-12T15:46:37.71" personId="{5F31C61E-4245-4409-B83E-2FC1A8FD5AE6}" id="{074F8C8F-0F0E-40F3-B392-EA9F0BED04E3}">
    <text>Desconto de 15549,49- boleto jan em fev</text>
  </threadedComment>
  <threadedComment ref="H5" dT="2025-12-30T15:14:53.40" personId="{5F31C61E-4245-4409-B83E-2FC1A8FD5AE6}" id="{37CD2A5F-3E12-4C0C-9D76-5A5C6CE4FE28}">
    <text>Desconto proximo  boleto de 175,49 e incluir valor honorario compensa pis e cofins 102025</text>
  </threadedComment>
  <threadedComment ref="D6" dT="2026-01-24T02:07:35.93" personId="{5F31C61E-4245-4409-B83E-2FC1A8FD5AE6}" id="{DFF4B242-84C8-49AB-8DFC-9D2F3250F1FC}">
    <text>Saldo credor 12/2025 segundo o fiscal</text>
  </threadedComment>
  <threadedComment ref="H6" dT="2026-01-28T13:26:38.28" personId="{5F31C61E-4245-4409-B83E-2FC1A8FD5AE6}" id="{6345AF9A-179E-4A74-9C83-0A2F43C38728}">
    <text>DESCONTAR 1195,94</text>
  </threadedComment>
  <threadedComment ref="K6" dT="2026-02-02T16:43:42.28" personId="{5F31C61E-4245-4409-B83E-2FC1A8FD5AE6}" id="{1FAB33DA-AB00-4F8A-B46A-952314B162F7}">
    <text>Descontar 20.179,25, a epresa pagou irpj e csll, descontar nos proximos boletos</text>
  </threadedComment>
  <threadedComment ref="C7" dT="2026-02-20T19:28:24.88" personId="{5F31C61E-4245-4409-B83E-2FC1A8FD5AE6}" id="{601F12B7-2F09-4BC0-915D-B6652BDED3C9}">
    <text>5952 113,98 e 1708 216,64</text>
  </threadedComment>
  <threadedComment ref="C8" dT="2026-02-20T19:44:34.68" personId="{5F31C61E-4245-4409-B83E-2FC1A8FD5AE6}" id="{837E36BE-F4C1-4F6E-A305-CDA329B6BEAD}">
    <text xml:space="preserve">9,00 1708 E 5952 331,55- anterio inss 76955,41( errado) </text>
  </threadedComment>
  <threadedComment ref="H8" dT="2026-01-08T17:28:52.59" personId="{5F31C61E-4245-4409-B83E-2FC1A8FD5AE6}" id="{6CC4208A-26DC-46F5-8E8C-9A06BE3BBA8A}">
    <text>15%- anterior 18471,03- proximo boleto acrescentar valor de 1475,88</text>
  </threadedComment>
  <threadedComment ref="C9" dT="2026-02-20T20:23:49.54" personId="{5F31C61E-4245-4409-B83E-2FC1A8FD5AE6}" id="{FEDB014F-30D7-4755-8780-2C70ADEFADF5}">
    <text>364,36 5952 e 1708 64,80</text>
  </threadedComment>
  <threadedComment ref="D10" dT="2026-01-24T02:07:31.18" personId="{5F31C61E-4245-4409-B83E-2FC1A8FD5AE6}" id="{15FC531A-EDFB-437B-AB9B-BD8DC2B4279D}">
    <text>Saldo credor 12/2025 segundo o fiscal</text>
  </threadedComment>
  <threadedComment ref="H10" dT="2026-01-05T16:10:56.47" personId="{5F31C61E-4245-4409-B83E-2FC1A8FD5AE6}" id="{2E34A5B3-6E65-4C8C-A60C-03D76196E7E1}">
    <text xml:space="preserve">Desconto de 4118,25 proximo boleto- honorario devria ser 8312,67- empresa pagiu irpj e csll </text>
  </threadedComment>
  <threadedComment ref="C13" dT="2026-02-20T21:47:31.45" personId="{5F31C61E-4245-4409-B83E-2FC1A8FD5AE6}" id="{E78A013E-68FC-489A-9DCA-667718D465F3}">
    <text>5952 219,33 e 3208 6457,84</text>
  </threadedComment>
  <threadedComment ref="H13" dT="2026-01-05T19:14:05.95" personId="{5F31C61E-4245-4409-B83E-2FC1A8FD5AE6}" id="{63986E3D-40F0-4EB1-B14C-B21929A8E66E}">
    <text>Complemento bolto mês que vem 2815,40</text>
  </threadedComment>
  <threadedComment ref="K13" dT="2026-01-27T22:49:51.04" personId="{5F31C61E-4245-4409-B83E-2FC1A8FD5AE6}" id="{79543627-AD62-461D-B579-A286B0C218E9}">
    <text>Acréscimo 2.815,40( dif mês anterior a menor)</text>
  </threadedComment>
  <threadedComment ref="P13" dT="2026-01-27T21:12:47.04" personId="{5F31C61E-4245-4409-B83E-2FC1A8FD5AE6}" id="{692EFB61-98EB-4BBF-831D-52108C2ABB5C}">
    <text>Exclui 12932,00 saldo dos insumos</text>
  </threadedComment>
  <threadedComment ref="D15" dT="2026-01-24T02:07:53.26" personId="{5F31C61E-4245-4409-B83E-2FC1A8FD5AE6}" id="{029A3E1B-12B1-43A2-AAB7-CEC3E820B02F}">
    <text>Saldo credor 12/2025 segundo o fiscal</text>
  </threadedComment>
  <threadedComment ref="O15" dT="2026-01-28T18:17:25.03" personId="{5F31C61E-4245-4409-B83E-2FC1A8FD5AE6}" id="{D4727F3E-B412-4FBE-8E79-E53466FC1ABB}">
    <text>26019,62- soma de valor de insumos</text>
  </threadedComment>
  <threadedComment ref="O16" dT="2026-01-28T18:51:55.89" personId="{5F31C61E-4245-4409-B83E-2FC1A8FD5AE6}" id="{1336513D-67F7-4E2C-ACB2-9B96E0D92598}">
    <text>33872,15- + saldo insumos que acabou</text>
  </threadedComment>
  <threadedComment ref="C18" dT="2026-01-29T14:51:23.41" personId="{5F31C61E-4245-4409-B83E-2FC1A8FD5AE6}" id="{7962ECC4-CA47-4213-8BAB-DDC04ECF936D}">
    <text>Cancelar compensao 5952 e 1708 258,23 e 13,27</text>
  </threadedComment>
  <threadedComment ref="O18" dT="2026-01-27T21:55:32.45" personId="{5F31C61E-4245-4409-B83E-2FC1A8FD5AE6}" id="{D4EDD05F-5A25-462D-A952-761A54E5BD84}">
    <text>Inclui 59965,46( saldo cred icms ex da bc)</text>
  </threadedComment>
  <threadedComment ref="C19" dT="2026-02-20T23:13:08.65" personId="{5F31C61E-4245-4409-B83E-2FC1A8FD5AE6}" id="{C939F0AF-3BD2-459E-922D-A334DEF53B69}">
    <text>1708 17,45 5952 156,86 3208 1674,29</text>
  </threadedComment>
  <threadedComment ref="O19" dT="2026-01-28T23:08:48.68" personId="{5F31C61E-4245-4409-B83E-2FC1A8FD5AE6}" id="{A8B6BC87-D862-4139-99BA-AFA4B683738D}">
    <text>+ 2283,29 icms st da bc pis e cofins</text>
  </threadedComment>
  <threadedComment ref="C20" dT="2026-02-20T23:18:41.46" personId="{5F31C61E-4245-4409-B83E-2FC1A8FD5AE6}" id="{5F720A40-7C6B-474C-81C6-866A9949A5B9}">
    <text>5952 243,13 E 1708 15,07</text>
  </threadedComment>
  <threadedComment ref="D20" dT="2026-01-24T02:07:07.71" personId="{5F31C61E-4245-4409-B83E-2FC1A8FD5AE6}" id="{1D2625BA-6824-48D2-8AC5-97B8744108EB}">
    <text>Saldo credor 12/2025 segundo o fiscal</text>
  </threadedComment>
  <threadedComment ref="O20" dT="2026-01-27T22:32:18.00" personId="{5F31C61E-4245-4409-B83E-2FC1A8FD5AE6}" id="{0B26FDB4-4643-4AEE-B604-9AACAE301290}">
    <text>Soma 6( credi 444,12(insumos e 12131 ,07
icms st da bc)</text>
  </threadedComment>
  <threadedComment ref="C21" dT="2026-02-20T23:32:08.79" personId="{5F31C61E-4245-4409-B83E-2FC1A8FD5AE6}" id="{5E05BF3A-F403-465F-9AC2-C2C7EBC0BF1D}">
    <text>24,22 1708 E 5952 185,37</text>
  </threadedComment>
  <threadedComment ref="D21" dT="2026-01-24T02:07:12.41" personId="{5F31C61E-4245-4409-B83E-2FC1A8FD5AE6}" id="{01AAEE77-C59C-4699-B755-C4BD2E07116F}">
    <text>Saldo credor 12/2025 segundo o fiscal</text>
  </threadedComment>
  <threadedComment ref="O21" dT="2026-01-27T23:13:23.61" personId="{5F31C61E-4245-4409-B83E-2FC1A8FD5AE6}" id="{8E0E064F-F924-4587-A78F-4513FC8A52BC}">
    <text>2166,12 saldo credi icms st da bc pis e cof</text>
  </threadedComment>
  <threadedComment ref="C22" dT="2026-02-20T23:36:49.11" personId="{5F31C61E-4245-4409-B83E-2FC1A8FD5AE6}" id="{5030938A-A15F-4577-AA4B-28CA8F05C7A2}">
    <text>1708 20,25 5952 169,88</text>
  </threadedComment>
  <threadedComment ref="D22" dT="2026-01-24T02:07:17.47" personId="{5F31C61E-4245-4409-B83E-2FC1A8FD5AE6}" id="{8F6720F7-6501-42CA-86A8-4E2A0F806C52}">
    <text>Saldo credor 12/2025 segundo o fiscal</text>
  </threadedComment>
  <threadedComment ref="O22" dT="2026-01-27T23:48:36.15" personId="{5F31C61E-4245-4409-B83E-2FC1A8FD5AE6}" id="{D2153428-1004-48F1-9B73-61C794CC796D}">
    <text>+ 4879,67( cred icms st da bc pis e cofins)</text>
  </threadedComment>
  <threadedComment ref="C23" dT="2026-02-20T23:43:21.53" personId="{5F31C61E-4245-4409-B83E-2FC1A8FD5AE6}" id="{AB607D19-9AC7-425D-9E23-C6BB2DEB33E6}">
    <text>5952 196,69 1708 26,65 3208 936,93</text>
  </threadedComment>
  <threadedComment ref="O23" dT="2026-01-28T00:59:01.40" personId="{5F31C61E-4245-4409-B83E-2FC1A8FD5AE6}" id="{B3916922-2B3F-41E5-AED8-676A672E0D84}">
    <text>23459,96- + saldo icms st da base</text>
  </threadedComment>
  <threadedComment ref="C24" dT="2026-02-20T23:48:50.87" personId="{5F31C61E-4245-4409-B83E-2FC1A8FD5AE6}" id="{3D5CB28C-5669-49E4-8EC4-A0712EA71087}">
    <text xml:space="preserve">5952 104,13 3208 1674,66
</text>
  </threadedComment>
  <threadedComment ref="D24" dT="2026-01-24T02:54:47.08" personId="{5F31C61E-4245-4409-B83E-2FC1A8FD5AE6}" id="{BFD81DB2-7129-4690-AEFE-5A432125AE1C}">
    <text xml:space="preserve">Saldo credor 12/2025 segundo o fiscal
</text>
  </threadedComment>
  <threadedComment ref="D25" dT="2026-02-25T17:44:08.23" personId="{5F31C61E-4245-4409-B83E-2FC1A8FD5AE6}" id="{F35A8DF3-7B3F-475D-B019-1376937D50C0}">
    <text>credor</text>
  </threadedComment>
  <threadedComment ref="D27" dT="2026-01-24T02:54:33.78" personId="{5F31C61E-4245-4409-B83E-2FC1A8FD5AE6}" id="{359B443D-FF9D-4680-A5ED-3E1895AE3C48}">
    <text>credor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6-02-20T18:12:45.32" personId="{5F31C61E-4245-4409-B83E-2FC1A8FD5AE6}" id="{801C9260-9EB2-4000-9DBE-EE40AE0A0F76}">
    <text>781,97 5952 e 220,99 1708</text>
  </threadedComment>
  <threadedComment ref="E4" dT="2026-01-27T22:35:23.79" personId="{5F31C61E-4245-4409-B83E-2FC1A8FD5AE6}" id="{6FC3CE60-CBB1-4AC9-9DBD-90FFE5A0274B}">
    <text>ESTIMATIVA</text>
  </threadedComment>
  <threadedComment ref="H4" dT="2026-01-06T13:17:01.48" personId="{5F31C61E-4245-4409-B83E-2FC1A8FD5AE6}" id="{45BCC1BA-8240-4671-B5A5-171E99502FD2}">
    <text>Desconto de 16.856,11 no proximo boleto- percentual e 15e não 20</text>
  </threadedComment>
  <threadedComment ref="D5" dT="2025-12-30T14:54:44.06" personId="{5F31C61E-4245-4409-B83E-2FC1A8FD5AE6}" id="{74FB9324-9EDF-46C6-B46B-0CE631337453}">
    <text>Foi a maior c cobrança  8668,10</text>
  </threadedComment>
  <threadedComment ref="F5" dT="2026-01-28T17:32:43.89" personId="{5F31C61E-4245-4409-B83E-2FC1A8FD5AE6}" id="{3221D3BB-D860-4329-BA7F-E455F763512C}">
    <text>PIS E COFINS MÊS 11/2025 NÃO COBRADO</text>
  </threadedComment>
  <threadedComment ref="G5" dT="2026-02-12T15:46:37.71" personId="{5F31C61E-4245-4409-B83E-2FC1A8FD5AE6}" id="{5A2A4961-123B-4240-882D-19B8B2B135A1}">
    <text>Desconto de 15549,49- boleto jan em fev</text>
  </threadedComment>
  <threadedComment ref="H5" dT="2025-12-30T15:14:53.40" personId="{5F31C61E-4245-4409-B83E-2FC1A8FD5AE6}" id="{450BACC0-BD2E-44F6-B73F-87794BDC1844}">
    <text>Desconto proximo  boleto de 175,49 e incluir valor honorario compensa pis e cofins 102025</text>
  </threadedComment>
  <threadedComment ref="D6" dT="2026-01-24T02:07:35.93" personId="{5F31C61E-4245-4409-B83E-2FC1A8FD5AE6}" id="{7BD0354B-9CF3-4739-8178-831AD46CF393}">
    <text>Saldo credor 12/2025 segundo o fiscal</text>
  </threadedComment>
  <threadedComment ref="H6" dT="2026-01-28T13:26:38.28" personId="{5F31C61E-4245-4409-B83E-2FC1A8FD5AE6}" id="{01D1C1D8-0373-47ED-9944-12594579D00E}">
    <text>DESCONTAR 1195,94</text>
  </threadedComment>
  <threadedComment ref="K6" dT="2026-02-02T16:43:42.28" personId="{5F31C61E-4245-4409-B83E-2FC1A8FD5AE6}" id="{E820E6FB-E389-4C1A-BD1A-A407450F8A65}">
    <text>Descontar 20.179,25, a epresa pagou irpj e csll, descontar nos proximos boletos</text>
  </threadedComment>
  <threadedComment ref="C7" dT="2026-02-20T19:28:24.88" personId="{5F31C61E-4245-4409-B83E-2FC1A8FD5AE6}" id="{A3C851C4-B831-420F-8204-7703B193C53A}">
    <text>5952 113,98 e 1708 216,64</text>
  </threadedComment>
  <threadedComment ref="E7" dT="2026-01-27T22:34:46.33" personId="{5F31C61E-4245-4409-B83E-2FC1A8FD5AE6}" id="{D938E4D6-44DB-421C-9393-B1356D9A3125}">
    <text>PREJUIZO</text>
  </threadedComment>
  <threadedComment ref="C8" dT="2026-02-20T19:44:34.68" personId="{5F31C61E-4245-4409-B83E-2FC1A8FD5AE6}" id="{404CF8E5-EDB7-4E10-9E2C-1CEC92582E2D}">
    <text xml:space="preserve">9,00 1708 E 5952 331,55- anterio inss 76955,41( errado) </text>
  </threadedComment>
  <threadedComment ref="H8" dT="2026-01-08T17:28:52.59" personId="{5F31C61E-4245-4409-B83E-2FC1A8FD5AE6}" id="{1E1F70B6-EDA6-4D0C-A500-528385D9BFC1}">
    <text>15%- anterior 18471,03- proximo boleto acrescentar valor de 1475,88</text>
  </threadedComment>
  <threadedComment ref="C9" dT="2026-02-20T20:23:49.54" personId="{5F31C61E-4245-4409-B83E-2FC1A8FD5AE6}" id="{24586B08-BFB5-4C57-B44C-7AD66255D182}">
    <text>364,36 5952 e 1708 64,80</text>
  </threadedComment>
  <threadedComment ref="D10" dT="2026-01-24T02:07:31.18" personId="{5F31C61E-4245-4409-B83E-2FC1A8FD5AE6}" id="{C15F5C87-C700-4F77-9A6E-45E856A52844}">
    <text>Saldo credor 12/2025 segundo o fiscal</text>
  </threadedComment>
  <threadedComment ref="H10" dT="2026-01-05T16:10:56.47" personId="{5F31C61E-4245-4409-B83E-2FC1A8FD5AE6}" id="{E6869FCE-8D65-4458-8573-C5694CBDB97F}">
    <text xml:space="preserve">Desconto de 4118,25 proximo boleto- honorario devria ser 8312,67- empresa pagiu irpj e csll </text>
  </threadedComment>
  <threadedComment ref="E12" dT="2025-12-23T20:05:26.58" personId="{5F31C61E-4245-4409-B83E-2FC1A8FD5AE6}" id="{6F8F4052-F73D-42CE-AF3A-9C8CB3AA7305}">
    <text>Cota unica</text>
  </threadedComment>
  <threadedComment ref="C13" dT="2026-02-20T21:47:31.45" personId="{5F31C61E-4245-4409-B83E-2FC1A8FD5AE6}" id="{3FC0CCC8-DD63-4040-AF48-B32DDC2DC295}">
    <text>5952 219,33 e 3208 6457,84</text>
  </threadedComment>
  <threadedComment ref="H13" dT="2026-01-05T19:14:05.95" personId="{5F31C61E-4245-4409-B83E-2FC1A8FD5AE6}" id="{7EA29368-8AE3-4641-87A0-9E5E6710A2A3}">
    <text>Complemento bolto mês que vem 2815,40</text>
  </threadedComment>
  <threadedComment ref="K13" dT="2026-01-27T22:49:51.04" personId="{5F31C61E-4245-4409-B83E-2FC1A8FD5AE6}" id="{CFE5F822-84B2-4568-93D8-1115F9993DE0}">
    <text>Acréscimo 2.815,40( dif mês anterior a menor)</text>
  </threadedComment>
  <threadedComment ref="P13" dT="2026-01-27T21:12:47.04" personId="{5F31C61E-4245-4409-B83E-2FC1A8FD5AE6}" id="{40100250-F356-4F47-89C1-729C19C5056D}">
    <text>Exclui 12932,00 saldo dos insumos</text>
  </threadedComment>
  <threadedComment ref="D15" dT="2026-01-24T02:07:53.26" personId="{5F31C61E-4245-4409-B83E-2FC1A8FD5AE6}" id="{678E07A6-7861-4E8E-A283-78BBC9984B90}">
    <text>Saldo credor 12/2025 segundo o fiscal</text>
  </threadedComment>
  <threadedComment ref="O15" dT="2026-01-28T18:17:25.03" personId="{5F31C61E-4245-4409-B83E-2FC1A8FD5AE6}" id="{076DC52E-4E81-4F11-BD59-442EE4C03D94}">
    <text>26019,62- soma de valor de insumos</text>
  </threadedComment>
  <threadedComment ref="O16" dT="2026-01-28T18:51:55.89" personId="{5F31C61E-4245-4409-B83E-2FC1A8FD5AE6}" id="{730914B6-710A-4F60-BD24-340D702384C3}">
    <text>33872,15- + saldo insumos que acabou</text>
  </threadedComment>
  <threadedComment ref="E17" dT="2026-01-28T13:51:49.75" personId="{5F31C61E-4245-4409-B83E-2FC1A8FD5AE6}" id="{28E89730-D8CF-464A-913E-CBFC1E112E66}">
    <text>Não vai compensar</text>
  </threadedComment>
  <threadedComment ref="C18" dT="2026-01-29T14:51:23.41" personId="{5F31C61E-4245-4409-B83E-2FC1A8FD5AE6}" id="{FE219A6B-57E2-48AD-8AD2-C49F98D73503}">
    <text>Cancelar compensao 5952 e 1708 258,23 e 13,27</text>
  </threadedComment>
  <threadedComment ref="O18" dT="2026-01-27T21:55:32.45" personId="{5F31C61E-4245-4409-B83E-2FC1A8FD5AE6}" id="{D38E3FBA-7079-4E42-B226-0E04D6D109D0}">
    <text>Inclui 59965,46( saldo cred icms ex da bc)</text>
  </threadedComment>
  <threadedComment ref="C19" dT="2026-02-20T23:13:08.65" personId="{5F31C61E-4245-4409-B83E-2FC1A8FD5AE6}" id="{D39CD56E-4767-4C04-B060-CA83A74D91A2}">
    <text>1708 17,45 5952 156,86 3208 1674,29</text>
  </threadedComment>
  <threadedComment ref="O19" dT="2026-01-28T23:08:48.68" personId="{5F31C61E-4245-4409-B83E-2FC1A8FD5AE6}" id="{0A0EF5F5-1613-49C4-AD42-ED3D81E44D13}">
    <text>+ 2283,29 icms st da bc pis e cofins</text>
  </threadedComment>
  <threadedComment ref="C20" dT="2026-02-20T23:18:41.46" personId="{5F31C61E-4245-4409-B83E-2FC1A8FD5AE6}" id="{50083DD1-6C1E-48A3-9DD9-677004AF1725}">
    <text>5952 243,13 E 1708 15,07</text>
  </threadedComment>
  <threadedComment ref="D20" dT="2026-01-24T02:07:07.71" personId="{5F31C61E-4245-4409-B83E-2FC1A8FD5AE6}" id="{9C3AF714-9B3C-4C06-9482-8287D65E63B6}">
    <text>Saldo credor 12/2025 segundo o fiscal</text>
  </threadedComment>
  <threadedComment ref="F20" dT="2026-01-28T17:32:59.47" personId="{5F31C61E-4245-4409-B83E-2FC1A8FD5AE6}" id="{EEF1B2C2-BF88-462B-9ACF-5CB0CCB20FD3}">
    <text>IRPJ E CSLL 3 TRIM 2 ULTIMAS COTAS EM ABERTO</text>
  </threadedComment>
  <threadedComment ref="O20" dT="2026-01-27T22:32:18.00" personId="{5F31C61E-4245-4409-B83E-2FC1A8FD5AE6}" id="{44D315E1-7EFB-4B9B-AF69-02AAF5E08CC8}">
    <text>Soma 6( credi 444,12(insumos e 12131 ,07
icms st da bc)</text>
  </threadedComment>
  <threadedComment ref="C21" dT="2026-02-20T23:32:08.79" personId="{5F31C61E-4245-4409-B83E-2FC1A8FD5AE6}" id="{21448EA9-39B1-4D79-B87D-FA8E9FD9DB28}">
    <text>24,22 1708 E 5952 185,37</text>
  </threadedComment>
  <threadedComment ref="D21" dT="2026-01-24T02:07:12.41" personId="{5F31C61E-4245-4409-B83E-2FC1A8FD5AE6}" id="{898610C4-4610-4245-980E-68140D24DFB3}">
    <text>Saldo credor 12/2025 segundo o fiscal</text>
  </threadedComment>
  <threadedComment ref="F21" dT="2026-01-28T17:33:05.03" personId="{5F31C61E-4245-4409-B83E-2FC1A8FD5AE6}" id="{87F9B7B2-4EFB-47E3-B120-B05FAAFF3A46}">
    <text xml:space="preserve">IRPJ E CSLL 3 TRIM 2 ULTIMAS COTAS EM ABERTO
</text>
  </threadedComment>
  <threadedComment ref="O21" dT="2026-01-27T23:13:23.61" personId="{5F31C61E-4245-4409-B83E-2FC1A8FD5AE6}" id="{14A4B5D0-A9B8-414F-A8EF-BEB30EA9420D}">
    <text>2166,12 saldo credi icms st da bc pis e cof</text>
  </threadedComment>
  <threadedComment ref="C22" dT="2026-02-20T23:36:49.11" personId="{5F31C61E-4245-4409-B83E-2FC1A8FD5AE6}" id="{E4855028-1E4E-4722-8713-F6DFF1D55314}">
    <text>1708 20,25 5952 169,88</text>
  </threadedComment>
  <threadedComment ref="D22" dT="2026-01-24T02:07:17.47" personId="{5F31C61E-4245-4409-B83E-2FC1A8FD5AE6}" id="{FFA702BB-3598-431B-9D15-435810B2B35C}">
    <text>Saldo credor 12/2025 segundo o fiscal</text>
  </threadedComment>
  <threadedComment ref="F22" dT="2026-01-28T17:33:09.48" personId="{5F31C61E-4245-4409-B83E-2FC1A8FD5AE6}" id="{54EE90BB-87ED-4CE6-8111-322003A6D9C8}">
    <text xml:space="preserve">IRPJ E CSLL 3 TRIM 2 ULTIMAS COTAS EM ABERTO
</text>
  </threadedComment>
  <threadedComment ref="O22" dT="2026-01-27T23:48:36.15" personId="{5F31C61E-4245-4409-B83E-2FC1A8FD5AE6}" id="{6570BE30-C91F-496F-AD1E-D86228BB0274}">
    <text>+ 4879,67( cred icms st da bc pis e cofins)</text>
  </threadedComment>
  <threadedComment ref="C23" dT="2026-02-20T23:43:21.53" personId="{5F31C61E-4245-4409-B83E-2FC1A8FD5AE6}" id="{4478575F-77BF-4384-834C-310CF8B2D5DB}">
    <text>5952 196,69 1708 26,65 3208 936,93</text>
  </threadedComment>
  <threadedComment ref="F23" dT="2026-01-28T17:33:14.87" personId="{5F31C61E-4245-4409-B83E-2FC1A8FD5AE6}" id="{414F2B75-3534-4CAF-8309-92A0766D5813}">
    <text xml:space="preserve">IRPJ E CSLL 3 TRIM 2 ULTIMAS COTAS EM ABERTO
</text>
  </threadedComment>
  <threadedComment ref="O23" dT="2026-01-28T00:59:01.40" personId="{5F31C61E-4245-4409-B83E-2FC1A8FD5AE6}" id="{795720FF-9176-498E-BF64-B36DA934E5DA}">
    <text>23459,96- + saldo icms st da base</text>
  </threadedComment>
  <threadedComment ref="C24" dT="2026-02-20T23:48:50.87" personId="{5F31C61E-4245-4409-B83E-2FC1A8FD5AE6}" id="{BE95D64A-B26F-4555-9531-80974C497C63}">
    <text xml:space="preserve">5952 104,13 3208 1674,66
</text>
  </threadedComment>
  <threadedComment ref="D24" dT="2026-01-24T02:54:47.08" personId="{5F31C61E-4245-4409-B83E-2FC1A8FD5AE6}" id="{37B0559A-ECD3-4B0F-8F7F-6C8F988F02AA}">
    <text xml:space="preserve">Saldo credor 12/2025 segundo o fiscal
</text>
  </threadedComment>
  <threadedComment ref="F24" dT="2026-01-28T17:33:19.99" personId="{5F31C61E-4245-4409-B83E-2FC1A8FD5AE6}" id="{B3AAC4D8-0FD9-449B-BDB3-A4A5144A1025}">
    <text xml:space="preserve">IRPJ E CSLL 3 TRIM 2 ULTIMAS COTAS EM ABERTO
</text>
  </threadedComment>
  <threadedComment ref="D25" dT="2026-02-25T17:44:08.23" personId="{5F31C61E-4245-4409-B83E-2FC1A8FD5AE6}" id="{8B2FE312-A614-432B-B7E7-131C45CD904E}">
    <text>credor</text>
  </threadedComment>
  <threadedComment ref="E25" dT="2026-01-29T18:26:23.66" personId="{5F31C61E-4245-4409-B83E-2FC1A8FD5AE6}" id="{38210418-6BB3-4B7E-B750-F9E1F1FA37E8}">
    <text>Estimativa mensal</text>
  </threadedComment>
  <threadedComment ref="E26" dT="2026-01-29T16:55:00.06" personId="{5F31C61E-4245-4409-B83E-2FC1A8FD5AE6}" id="{F02264B7-BD0D-4CA8-8967-4C8ECD4265AF}">
    <text>Prejuizo fiscal</text>
  </threadedComment>
  <threadedComment ref="D27" dT="2026-01-24T02:54:33.78" personId="{5F31C61E-4245-4409-B83E-2FC1A8FD5AE6}" id="{A8590EC8-5BA2-4E02-84BF-64D16BB71D41}">
    <text>credor</text>
  </threadedComment>
  <threadedComment ref="E27" dT="2026-01-29T18:26:13.87" personId="{5F31C61E-4245-4409-B83E-2FC1A8FD5AE6}" id="{CA66ED5B-4B2D-47DC-9C52-C35F11489FDF}">
    <text>Estimativa mensal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6" dT="2026-04-29T18:04:46.68" personId="{5F31C61E-4245-4409-B83E-2FC1A8FD5AE6}" id="{CFC7ED7E-468E-4DE4-9012-59490A4C5E90}">
    <text>credor</text>
  </threadedComment>
  <threadedComment ref="E8" dT="2026-04-30T14:23:18.98" personId="{5F31C61E-4245-4409-B83E-2FC1A8FD5AE6}" id="{8DDC8EF0-2848-4AB1-B322-E83D4D3D0055}">
    <text>prejuizo</text>
  </threadedComment>
  <threadedComment ref="D10" dT="2026-04-29T18:04:46.68" personId="{5F31C61E-4245-4409-B83E-2FC1A8FD5AE6}" id="{FE65592D-E56D-4F8A-86E7-6238F4906965}">
    <text>credor</text>
  </threadedComment>
  <threadedComment ref="C11" dT="2026-04-29T18:04:46.68" personId="{5F31C61E-4245-4409-B83E-2FC1A8FD5AE6}" id="{4F3B8B79-242A-40F4-88EE-944193F032F5}">
    <text>credor</text>
  </threadedComment>
  <threadedComment ref="D11" dT="2026-04-29T18:04:46.68" personId="{5F31C61E-4245-4409-B83E-2FC1A8FD5AE6}" id="{C262904A-553C-494D-9189-A0114EA07DAB}">
    <text>credor</text>
  </threadedComment>
  <threadedComment ref="E11" dT="2026-04-29T18:04:46.68" personId="{5F31C61E-4245-4409-B83E-2FC1A8FD5AE6}" id="{7623495D-A115-4265-888A-65A43126555D}">
    <text>credor</text>
  </threadedComment>
  <threadedComment ref="C17" dT="2026-04-29T18:04:46.68" personId="{5F31C61E-4245-4409-B83E-2FC1A8FD5AE6}" id="{2DE5EF2C-36F0-4DB2-AA10-881F0BB28EF7}">
    <text>credor</text>
  </threadedComment>
  <threadedComment ref="D17" dT="2026-04-29T18:04:46.68" personId="{5F31C61E-4245-4409-B83E-2FC1A8FD5AE6}" id="{41B99D79-1E24-44AB-8EC7-34CC1B8AFCA5}">
    <text>credor</text>
  </threadedComment>
  <threadedComment ref="E17" dT="2026-04-29T18:04:46.68" personId="{5F31C61E-4245-4409-B83E-2FC1A8FD5AE6}" id="{9348345F-0CAD-4EC1-94C3-160BE901FE57}">
    <text>credor</text>
  </threadedComment>
  <threadedComment ref="D19" dT="2026-04-29T18:04:46.68" personId="{5F31C61E-4245-4409-B83E-2FC1A8FD5AE6}" id="{D600315F-1DCA-44DE-A7CD-F70D8537402C}">
    <text>credor</text>
  </threadedComment>
  <threadedComment ref="E19" dT="2026-04-29T18:04:46.68" personId="{5F31C61E-4245-4409-B83E-2FC1A8FD5AE6}" id="{4EDF9074-EF45-4B52-9E24-9BC4BE817C4D}">
    <text>credor</text>
  </threadedComment>
  <threadedComment ref="E20" dT="2026-04-29T18:04:46.68" personId="{5F31C61E-4245-4409-B83E-2FC1A8FD5AE6}" id="{023D31FA-0328-439B-95CE-E420180AF5DE}">
    <text>credor</text>
  </threadedComment>
  <threadedComment ref="E21" dT="2026-04-29T18:04:46.68" personId="{5F31C61E-4245-4409-B83E-2FC1A8FD5AE6}" id="{0D5FE228-D669-4080-B456-957CCABC28C5}">
    <text>credor</text>
  </threadedComment>
  <threadedComment ref="D22" dT="2026-04-29T18:04:46.68" personId="{5F31C61E-4245-4409-B83E-2FC1A8FD5AE6}" id="{B3D7F549-7814-481F-85B2-165940A5DA17}">
    <text>credor</text>
  </threadedComment>
  <threadedComment ref="E22" dT="2026-04-29T18:04:46.68" personId="{5F31C61E-4245-4409-B83E-2FC1A8FD5AE6}" id="{B10C19DA-108A-4D54-83BB-4D1E5743876C}">
    <text>credor</text>
  </threadedComment>
  <threadedComment ref="D23" dT="2026-04-29T18:04:46.68" personId="{5F31C61E-4245-4409-B83E-2FC1A8FD5AE6}" id="{0E1192FE-67B1-42AC-812D-3239EB643E66}">
    <text>credor</text>
  </threadedComment>
  <threadedComment ref="D24" dT="2026-04-29T18:04:46.68" personId="{5F31C61E-4245-4409-B83E-2FC1A8FD5AE6}" id="{80898399-69EE-4A63-81C4-8E77AD52A6DA}">
    <text>credor</text>
  </threadedComment>
  <threadedComment ref="D25" dT="2026-04-29T18:04:46.68" personId="{5F31C61E-4245-4409-B83E-2FC1A8FD5AE6}" id="{144B6046-0C8F-4550-A81B-042CD6BE5A91}">
    <text>credor</text>
  </threadedComment>
  <threadedComment ref="D26" dT="2026-04-29T18:04:46.68" personId="{5F31C61E-4245-4409-B83E-2FC1A8FD5AE6}" id="{28C38761-E7C1-4720-9D48-026B950B7FC2}">
    <text>credor</text>
  </threadedComment>
  <threadedComment ref="E26" dT="2026-04-30T14:23:11.39" personId="{5F31C61E-4245-4409-B83E-2FC1A8FD5AE6}" id="{3FF9ED42-E4D9-4B89-88B9-DC85584C6862}">
    <text>prejuizo</text>
  </threadedComment>
  <threadedComment ref="D27" dT="2026-04-29T18:04:46.68" personId="{5F31C61E-4245-4409-B83E-2FC1A8FD5AE6}" id="{1867D1A3-048E-499E-A509-2328D88380AC}">
    <text>credor</text>
  </threadedComment>
  <threadedComment ref="N28" dT="2026-04-29T17:04:57.54" personId="{5F31C61E-4245-4409-B83E-2FC1A8FD5AE6}" id="{D2340ACD-A05A-4C65-93B2-8A222B588782}">
    <text>8795,54 credito antigo</text>
  </threadedComment>
  <threadedComment ref="D30" dT="2026-05-05T15:15:19.25" personId="{7B9FA9F5-FEDC-4BA4-9E76-DAFF7E0C1E74}" id="{BF5DE5CB-6711-4D09-9693-7901927EE190}">
    <text xml:space="preserve">Não quis compensar
</text>
  </threadedComment>
  <threadedComment ref="D31" dT="2026-05-05T15:15:19.25" personId="{7B9FA9F5-FEDC-4BA4-9E76-DAFF7E0C1E74}" id="{31257050-0AB9-4728-9CA8-2A1937C9F7EC}">
    <text xml:space="preserve">Não quis compensar
</text>
  </threadedComment>
  <threadedComment ref="E32" dT="2026-04-30T14:23:29.26" personId="{5F31C61E-4245-4409-B83E-2FC1A8FD5AE6}" id="{6A986DF6-E0EA-440C-BBE1-6FB4A4612056}">
    <text>prejuizo</text>
  </threadedComment>
  <threadedComment ref="E34" dT="2026-04-30T14:14:47.92" personId="{5F31C61E-4245-4409-B83E-2FC1A8FD5AE6}" id="{20A15324-BB98-4606-BD7B-AF09647D6648}">
    <text>prejuizo</text>
  </threadedComment>
  <threadedComment ref="D38" dT="2026-05-05T15:15:33.78" personId="{7B9FA9F5-FEDC-4BA4-9E76-DAFF7E0C1E74}" id="{F972741E-208F-4907-B567-4D8D5E6AC2D8}">
    <text>Pode compensar</text>
  </threadedComment>
  <threadedComment ref="D39" dT="2026-05-05T15:15:33.78" personId="{7B9FA9F5-FEDC-4BA4-9E76-DAFF7E0C1E74}" id="{E10EC147-825F-498D-9CCE-7991F886611C}">
    <text>Pode compensar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7" dT="2026-01-28T13:51:49.75" personId="{5F31C61E-4245-4409-B83E-2FC1A8FD5AE6}" id="{0569E5B3-6E18-4BD6-8582-A724B24CF01D}">
    <text>Não vai compensar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4" dT="2026-01-27T22:35:23.79" personId="{5F31C61E-4245-4409-B83E-2FC1A8FD5AE6}" id="{F9415387-C9E9-40A4-AF94-FCCCDA0B9698}">
    <text>ESTIMATIVA</text>
  </threadedComment>
  <threadedComment ref="I4" dT="2026-01-06T13:17:01.48" personId="{5F31C61E-4245-4409-B83E-2FC1A8FD5AE6}" id="{7097DA0A-213F-4CDC-86CD-044ABF189473}">
    <text>Desconto de 16.856,11 no proximo boleto- percentual e 15e não 20</text>
  </threadedComment>
  <threadedComment ref="L4" dT="2026-01-27T22:45:37.53" personId="{5F31C61E-4245-4409-B83E-2FC1A8FD5AE6}" id="{60075489-9FAE-4AC0-AD46-E1B6F7FFFCB5}">
    <text>DESCONTO 16856,11_ DIF MÊS ANTERIOR DE PERCENTUAL DE 20 PARA 15</text>
  </threadedComment>
  <threadedComment ref="D5" dT="2025-12-30T14:54:44.06" personId="{5F31C61E-4245-4409-B83E-2FC1A8FD5AE6}" id="{8577F128-028B-42CB-94A6-D710A1BD94B9}">
    <text>Foi a maior c cobrança  8668,10</text>
  </threadedComment>
  <threadedComment ref="F5" dT="2026-01-28T17:32:43.89" personId="{5F31C61E-4245-4409-B83E-2FC1A8FD5AE6}" id="{706583AF-FE82-448F-9A69-D43739EA43E3}">
    <text>PIS E COFINS MÊS 11/2025 NÃO COBRADO</text>
  </threadedComment>
  <threadedComment ref="G5" dT="2026-02-12T15:46:37.71" personId="{5F31C61E-4245-4409-B83E-2FC1A8FD5AE6}" id="{EBA01A2D-BB50-4732-8940-85160A2145C8}">
    <text>Desconto de 15549,49- boleto jan em fev</text>
  </threadedComment>
  <threadedComment ref="I5" dT="2025-12-30T15:14:53.40" personId="{5F31C61E-4245-4409-B83E-2FC1A8FD5AE6}" id="{8F57F044-68B2-44AC-BE88-A68F521363EC}">
    <text>Desconto proximo  boleto de 175,49 e incluir valor honorario compensa pis e cofins 102025</text>
  </threadedComment>
  <threadedComment ref="L5" dT="2026-01-27T22:46:09.00" personId="{5F31C61E-4245-4409-B83E-2FC1A8FD5AE6}" id="{D127534D-39FD-4308-B9B9-B04A81A56DED}">
    <text xml:space="preserve">DESCONTO 175,49( DIF MÊS ANTERIOR)
</text>
  </threadedComment>
  <threadedComment ref="D6" dT="2026-01-24T02:07:35.93" personId="{5F31C61E-4245-4409-B83E-2FC1A8FD5AE6}" id="{E3CCD14B-0A31-498C-BB44-48528B8B9659}">
    <text>Saldo credor 12/2025 segundo o fiscal</text>
  </threadedComment>
  <threadedComment ref="I6" dT="2026-01-28T13:26:38.28" personId="{5F31C61E-4245-4409-B83E-2FC1A8FD5AE6}" id="{A263A252-96C7-4059-A77E-CAD002202786}">
    <text>DESCONTAR 1195,94</text>
  </threadedComment>
  <threadedComment ref="L6" dT="2026-02-02T16:43:42.28" personId="{5F31C61E-4245-4409-B83E-2FC1A8FD5AE6}" id="{81019FFF-1535-4CFD-9032-89822817D962}">
    <text>Descontar 20.179,25, a epresa pagou irpj e csll, descontar nos proximos boletos</text>
  </threadedComment>
  <threadedComment ref="E7" dT="2026-01-27T22:34:46.33" personId="{5F31C61E-4245-4409-B83E-2FC1A8FD5AE6}" id="{B41EB031-F9D2-4FC6-9F9C-7E34865DF764}">
    <text>PREJUIZO</text>
  </threadedComment>
  <threadedComment ref="I8" dT="2026-01-08T17:28:52.59" personId="{5F31C61E-4245-4409-B83E-2FC1A8FD5AE6}" id="{4FA3D365-4A6A-4C85-AE9A-D3A68057C1F7}">
    <text>15%</text>
  </threadedComment>
  <threadedComment ref="D10" dT="2026-01-24T02:07:31.18" personId="{5F31C61E-4245-4409-B83E-2FC1A8FD5AE6}" id="{0989C93F-83B5-421C-B280-290F96C6942C}">
    <text>Saldo credor 12/2025 segundo o fiscal</text>
  </threadedComment>
  <threadedComment ref="I10" dT="2026-01-05T16:10:56.47" personId="{5F31C61E-4245-4409-B83E-2FC1A8FD5AE6}" id="{539B7EFD-8381-413E-8499-AB6DD9BDFFA0}">
    <text xml:space="preserve">Desconto de 4118,25 proximo boleto- honorario devria ser 8312,67- empresa pagiu irpj e csll </text>
  </threadedComment>
  <threadedComment ref="E12" dT="2025-12-23T20:05:26.58" personId="{5F31C61E-4245-4409-B83E-2FC1A8FD5AE6}" id="{D2D79E73-E397-438B-930D-E061DCF27D9A}">
    <text>Cota unica</text>
  </threadedComment>
  <threadedComment ref="I13" dT="2026-01-05T19:14:05.95" personId="{5F31C61E-4245-4409-B83E-2FC1A8FD5AE6}" id="{60B674B4-5B13-4C39-A0D9-224E1E01D3DD}">
    <text>Complemento bolto mês que vem 2815,40</text>
  </threadedComment>
  <threadedComment ref="L13" dT="2026-01-27T22:49:51.04" personId="{5F31C61E-4245-4409-B83E-2FC1A8FD5AE6}" id="{0EF2A4D9-2EC3-4117-A9B4-CC5DBC6AB462}">
    <text>Acréscimo 2.815,40( dif mês anterior a menor)</text>
  </threadedComment>
  <threadedComment ref="Q13" dT="2026-01-27T21:12:47.04" personId="{5F31C61E-4245-4409-B83E-2FC1A8FD5AE6}" id="{CEC899BB-F2E9-4DC3-AD5F-CD5A0F7E54A8}">
    <text>Exclui 12932,00 saldo dos insumos</text>
  </threadedComment>
  <threadedComment ref="D15" dT="2026-01-24T02:07:53.26" personId="{5F31C61E-4245-4409-B83E-2FC1A8FD5AE6}" id="{F74746D8-C6EA-461B-8C54-1B3FDAFC95CD}">
    <text>Saldo credor 12/2025 segundo o fiscal</text>
  </threadedComment>
  <threadedComment ref="P15" dT="2026-01-28T18:17:25.03" personId="{5F31C61E-4245-4409-B83E-2FC1A8FD5AE6}" id="{A99AC68F-6FD3-4358-8DFD-988885915D11}">
    <text>26019,62- soma de valor de insumos</text>
  </threadedComment>
  <threadedComment ref="P16" dT="2026-01-28T18:51:55.89" personId="{5F31C61E-4245-4409-B83E-2FC1A8FD5AE6}" id="{5BFDFF32-42E8-4D64-A4ED-C881D3550237}">
    <text>33872,15- + saldo insumos que acabou</text>
  </threadedComment>
  <threadedComment ref="D17" dT="2026-01-24T02:08:07.01" personId="{5F31C61E-4245-4409-B83E-2FC1A8FD5AE6}" id="{484850EB-940F-4224-B4B8-68FAF3730255}">
    <text xml:space="preserve">Não vai compensar </text>
  </threadedComment>
  <threadedComment ref="E17" dT="2026-01-28T13:51:49.75" personId="{5F31C61E-4245-4409-B83E-2FC1A8FD5AE6}" id="{3867B848-1ED3-451D-BBED-2C91EB683830}">
    <text>Não vai compensar</text>
  </threadedComment>
  <threadedComment ref="C18" dT="2026-01-29T14:51:23.41" personId="{5F31C61E-4245-4409-B83E-2FC1A8FD5AE6}" id="{9F11191D-CB67-448C-AA99-5A6209A3FDDB}">
    <text>Cancelar compensao 5952 e 1708 258,23 e 13,27</text>
  </threadedComment>
  <threadedComment ref="P18" dT="2026-01-27T21:55:32.45" personId="{5F31C61E-4245-4409-B83E-2FC1A8FD5AE6}" id="{77300FAA-877C-4E1D-9948-7C03876B3DF2}">
    <text>Inclui 59965,46( saldo cred icms ex da bc)</text>
  </threadedComment>
  <threadedComment ref="D19" dT="2026-01-24T02:07:03.05" personId="{5F31C61E-4245-4409-B83E-2FC1A8FD5AE6}" id="{00F1E4D7-5549-4EB8-9C7D-D8CE5E97159A}">
    <text>Saldo credor 12/2025 segundo o fiscal</text>
  </threadedComment>
  <threadedComment ref="P19" dT="2026-01-28T23:08:48.68" personId="{5F31C61E-4245-4409-B83E-2FC1A8FD5AE6}" id="{1DDB2014-6E32-46A5-8FB2-B8644B4AAE33}">
    <text>+ 2283,29 icms st da bc pis e cofins</text>
  </threadedComment>
  <threadedComment ref="D20" dT="2026-01-24T02:07:07.71" personId="{5F31C61E-4245-4409-B83E-2FC1A8FD5AE6}" id="{D3E78C2D-3518-4464-B8B1-F5429E4042DD}">
    <text>Saldo credor 12/2025 segundo o fiscal</text>
  </threadedComment>
  <threadedComment ref="F20" dT="2026-01-28T17:32:59.47" personId="{5F31C61E-4245-4409-B83E-2FC1A8FD5AE6}" id="{0EF8CC3C-181C-4229-BFCD-84585AED9BDC}">
    <text>IRPJ E CSLL 3 TRIM 2 ULTIMAS COTAS EM ABERTO</text>
  </threadedComment>
  <threadedComment ref="P20" dT="2026-01-27T22:32:18.00" personId="{5F31C61E-4245-4409-B83E-2FC1A8FD5AE6}" id="{9BFBD3E4-EA0D-4C62-85BB-8504FA433DCA}">
    <text>Soma 6( credi 444,12(insumos e 12131 ,07
icms st da bc)</text>
  </threadedComment>
  <threadedComment ref="D21" dT="2026-01-24T02:07:12.41" personId="{5F31C61E-4245-4409-B83E-2FC1A8FD5AE6}" id="{6565D611-463A-4C16-8D50-45BADE3EFEF8}">
    <text>Saldo credor 12/2025 segundo o fiscal</text>
  </threadedComment>
  <threadedComment ref="F21" dT="2026-01-28T17:33:05.03" personId="{5F31C61E-4245-4409-B83E-2FC1A8FD5AE6}" id="{2F4841C5-50B1-4663-8F4A-B031B7476710}">
    <text xml:space="preserve">IRPJ E CSLL 3 TRIM 2 ULTIMAS COTAS EM ABERTO
</text>
  </threadedComment>
  <threadedComment ref="P21" dT="2026-01-27T23:13:23.61" personId="{5F31C61E-4245-4409-B83E-2FC1A8FD5AE6}" id="{C7AFC52A-E856-4503-9E89-158BAB790A57}">
    <text>2166,12 saldo credi icms st da bc pis e cof</text>
  </threadedComment>
  <threadedComment ref="D22" dT="2026-01-24T02:07:17.47" personId="{5F31C61E-4245-4409-B83E-2FC1A8FD5AE6}" id="{6AC88EFF-577B-4BE9-9B9D-D9F2C10AC435}">
    <text>Saldo credor 12/2025 segundo o fiscal</text>
  </threadedComment>
  <threadedComment ref="F22" dT="2026-01-28T17:33:09.48" personId="{5F31C61E-4245-4409-B83E-2FC1A8FD5AE6}" id="{549D9D1C-E951-4CBA-957C-6624AEF6F40B}">
    <text xml:space="preserve">IRPJ E CSLL 3 TRIM 2 ULTIMAS COTAS EM ABERTO
</text>
  </threadedComment>
  <threadedComment ref="P22" dT="2026-01-27T23:48:36.15" personId="{5F31C61E-4245-4409-B83E-2FC1A8FD5AE6}" id="{2B49E8FE-D24B-4BC1-8C8F-DB90180B0282}">
    <text>+ 4879,67( cred icms st da bc pis e cofins)</text>
  </threadedComment>
  <threadedComment ref="D23" dT="2026-01-24T02:07:22.43" personId="{5F31C61E-4245-4409-B83E-2FC1A8FD5AE6}" id="{AEB87083-A0F1-4A2F-B569-FA144CC31D6F}">
    <text>Saldo credor 12/2025 segundo o fiscal</text>
  </threadedComment>
  <threadedComment ref="F23" dT="2026-01-28T17:33:14.87" personId="{5F31C61E-4245-4409-B83E-2FC1A8FD5AE6}" id="{845D105F-347D-42D8-9529-02E475FC0E5E}">
    <text xml:space="preserve">IRPJ E CSLL 3 TRIM 2 ULTIMAS COTAS EM ABERTO
</text>
  </threadedComment>
  <threadedComment ref="P23" dT="2026-01-28T00:59:01.40" personId="{5F31C61E-4245-4409-B83E-2FC1A8FD5AE6}" id="{FBBD59C1-61C4-4CC5-9783-24A53E5E1431}">
    <text>23459,96- + saldo icms st da base</text>
  </threadedComment>
  <threadedComment ref="D24" dT="2026-01-24T02:54:47.08" personId="{5F31C61E-4245-4409-B83E-2FC1A8FD5AE6}" id="{3F83C56A-14CB-4EDD-A9F0-F7350B32A99A}">
    <text xml:space="preserve">Saldo credor 12/2025 segundo o fiscal
</text>
  </threadedComment>
  <threadedComment ref="F24" dT="2026-01-28T17:33:19.99" personId="{5F31C61E-4245-4409-B83E-2FC1A8FD5AE6}" id="{9FEB641F-B38B-4C20-A353-13196F355565}">
    <text xml:space="preserve">IRPJ E CSLL 3 TRIM 2 ULTIMAS COTAS EM ABERTO
</text>
  </threadedComment>
  <threadedComment ref="D25" dT="2026-01-24T02:54:16.30" personId="{5F31C61E-4245-4409-B83E-2FC1A8FD5AE6}" id="{B4F43D69-BBB9-4ACD-AF72-80372F8D422C}">
    <text>credor</text>
  </threadedComment>
  <threadedComment ref="E25" dT="2026-01-29T18:26:23.66" personId="{5F31C61E-4245-4409-B83E-2FC1A8FD5AE6}" id="{A4501BB1-EE9B-458F-85B8-CC2D6FF23471}">
    <text>Estimativa mensal</text>
  </threadedComment>
  <threadedComment ref="D26" dT="2026-01-24T02:54:26.74" personId="{5F31C61E-4245-4409-B83E-2FC1A8FD5AE6}" id="{1EC1E5E0-0FAA-40FC-A8B4-BD14FF4F570B}">
    <text>credor</text>
  </threadedComment>
  <threadedComment ref="E26" dT="2026-01-29T16:55:00.06" personId="{5F31C61E-4245-4409-B83E-2FC1A8FD5AE6}" id="{1D4DF2A6-3F64-4C7A-9E73-01214E150B2E}">
    <text>Prejuizo fiscal</text>
  </threadedComment>
  <threadedComment ref="D27" dT="2026-01-24T02:54:33.78" personId="{5F31C61E-4245-4409-B83E-2FC1A8FD5AE6}" id="{2B4EF786-76F0-442E-960D-484EB47F94E5}">
    <text>credor</text>
  </threadedComment>
  <threadedComment ref="E27" dT="2026-01-29T18:26:13.87" personId="{5F31C61E-4245-4409-B83E-2FC1A8FD5AE6}" id="{4E120BA5-073A-4235-BCE3-FF1773888B2E}">
    <text>Estimativa mensal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84"/>
  <sheetViews>
    <sheetView zoomScale="125" zoomScaleNormal="100" workbookViewId="0">
      <selection activeCell="A26" sqref="A26:XFD26"/>
    </sheetView>
  </sheetViews>
  <sheetFormatPr defaultColWidth="8.6640625" defaultRowHeight="14.4" x14ac:dyDescent="0.3"/>
  <cols>
    <col min="1" max="1" width="13.33203125" customWidth="1"/>
    <col min="2" max="2" width="66.5546875" customWidth="1"/>
    <col min="3" max="3" width="25.6640625" hidden="1" customWidth="1"/>
    <col min="4" max="4" width="15.6640625" hidden="1" customWidth="1"/>
    <col min="5" max="5" width="17.44140625" hidden="1" customWidth="1"/>
    <col min="6" max="6" width="17" hidden="1" customWidth="1"/>
    <col min="7" max="7" width="14.33203125" hidden="1" customWidth="1"/>
    <col min="8" max="8" width="0" hidden="1" customWidth="1"/>
    <col min="9" max="9" width="15.88671875" bestFit="1" customWidth="1"/>
    <col min="10" max="10" width="15.6640625" bestFit="1" customWidth="1"/>
    <col min="11" max="11" width="20" bestFit="1" customWidth="1"/>
    <col min="12" max="12" width="23.109375" bestFit="1" customWidth="1"/>
    <col min="13" max="13" width="23.6640625" bestFit="1" customWidth="1"/>
    <col min="14" max="14" width="23.6640625" customWidth="1"/>
    <col min="15" max="15" width="16.6640625" bestFit="1" customWidth="1"/>
    <col min="16" max="16" width="14" bestFit="1" customWidth="1"/>
    <col min="22" max="22" width="14.33203125" bestFit="1" customWidth="1"/>
  </cols>
  <sheetData>
    <row r="1" spans="1:22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7</v>
      </c>
      <c r="F1" s="2" t="s">
        <v>8</v>
      </c>
      <c r="I1" s="2" t="s">
        <v>92</v>
      </c>
      <c r="J1" s="2" t="s">
        <v>67</v>
      </c>
      <c r="K1" s="2" t="s">
        <v>93</v>
      </c>
      <c r="L1" s="49" t="s">
        <v>128</v>
      </c>
      <c r="M1" s="49" t="s">
        <v>94</v>
      </c>
      <c r="N1" s="49" t="s">
        <v>268</v>
      </c>
      <c r="O1" s="2" t="s">
        <v>68</v>
      </c>
      <c r="V1" s="65" t="s">
        <v>129</v>
      </c>
    </row>
    <row r="2" spans="1:22" s="1" customFormat="1" hidden="1" x14ac:dyDescent="0.3">
      <c r="A2" s="26">
        <v>45954</v>
      </c>
      <c r="B2" s="28" t="s">
        <v>10</v>
      </c>
      <c r="C2" s="28" t="s">
        <v>11</v>
      </c>
      <c r="D2" s="28" t="s">
        <v>12</v>
      </c>
      <c r="E2" s="28" t="s">
        <v>9</v>
      </c>
      <c r="F2" s="28" t="s">
        <v>13</v>
      </c>
      <c r="I2" s="29">
        <v>0</v>
      </c>
      <c r="J2" s="29">
        <v>0</v>
      </c>
      <c r="K2" s="29">
        <v>0</v>
      </c>
      <c r="L2" s="29">
        <v>722125.02</v>
      </c>
      <c r="M2" s="51"/>
      <c r="N2" s="51"/>
      <c r="O2" s="29">
        <v>0</v>
      </c>
    </row>
    <row r="3" spans="1:22" s="1" customFormat="1" hidden="1" x14ac:dyDescent="0.3">
      <c r="A3" s="5">
        <v>45964</v>
      </c>
      <c r="B3" s="6" t="s">
        <v>20</v>
      </c>
      <c r="C3" s="6" t="s">
        <v>21</v>
      </c>
      <c r="D3" s="6" t="s">
        <v>16</v>
      </c>
      <c r="E3" s="6" t="s">
        <v>22</v>
      </c>
      <c r="F3" s="6" t="s">
        <v>19</v>
      </c>
      <c r="I3" s="4">
        <v>0</v>
      </c>
      <c r="J3" s="4">
        <v>0</v>
      </c>
      <c r="K3" s="4"/>
      <c r="L3" s="4"/>
      <c r="M3" s="51"/>
      <c r="N3" s="51"/>
      <c r="O3" s="4">
        <v>26942306.850000001</v>
      </c>
    </row>
    <row r="4" spans="1:22" s="1" customFormat="1" x14ac:dyDescent="0.3">
      <c r="A4" s="26">
        <v>45965</v>
      </c>
      <c r="B4" s="28" t="s">
        <v>15</v>
      </c>
      <c r="C4" s="28" t="s">
        <v>5</v>
      </c>
      <c r="D4" s="28" t="s">
        <v>16</v>
      </c>
      <c r="E4" s="28" t="s">
        <v>9</v>
      </c>
      <c r="F4" s="28" t="s">
        <v>17</v>
      </c>
      <c r="I4" s="29">
        <v>2407515.09</v>
      </c>
      <c r="J4" s="29">
        <v>3376449.69</v>
      </c>
      <c r="K4" s="29"/>
      <c r="L4" s="29"/>
      <c r="M4" s="51"/>
      <c r="N4" s="51"/>
      <c r="O4" s="29">
        <v>0</v>
      </c>
      <c r="P4" s="24"/>
    </row>
    <row r="5" spans="1:22" s="1" customFormat="1" hidden="1" x14ac:dyDescent="0.3">
      <c r="A5" s="5">
        <v>45967</v>
      </c>
      <c r="B5" s="6" t="s">
        <v>23</v>
      </c>
      <c r="C5" s="6" t="s">
        <v>24</v>
      </c>
      <c r="D5" s="6" t="s">
        <v>16</v>
      </c>
      <c r="E5" s="23" t="s">
        <v>22</v>
      </c>
      <c r="F5" s="6" t="s">
        <v>19</v>
      </c>
      <c r="I5" s="4">
        <v>522124.32</v>
      </c>
      <c r="J5" s="4">
        <v>0</v>
      </c>
      <c r="K5" s="4"/>
      <c r="L5" s="4"/>
      <c r="M5" s="51"/>
      <c r="N5" s="51"/>
      <c r="O5" s="4">
        <v>0</v>
      </c>
    </row>
    <row r="6" spans="1:22" s="1" customFormat="1" hidden="1" x14ac:dyDescent="0.3">
      <c r="A6" s="5">
        <v>45967</v>
      </c>
      <c r="B6" s="6" t="s">
        <v>25</v>
      </c>
      <c r="C6" s="6" t="s">
        <v>26</v>
      </c>
      <c r="D6" s="6" t="s">
        <v>16</v>
      </c>
      <c r="E6" s="23" t="s">
        <v>22</v>
      </c>
      <c r="F6" s="6" t="s">
        <v>19</v>
      </c>
      <c r="I6" s="4">
        <v>0</v>
      </c>
      <c r="J6" s="4">
        <v>0</v>
      </c>
      <c r="K6" s="4"/>
      <c r="L6" s="4"/>
      <c r="M6" s="51"/>
      <c r="N6" s="51"/>
      <c r="O6" s="4">
        <v>0</v>
      </c>
    </row>
    <row r="7" spans="1:22" s="1" customFormat="1" x14ac:dyDescent="0.3">
      <c r="A7" s="26">
        <v>45968</v>
      </c>
      <c r="B7" s="28" t="s">
        <v>3</v>
      </c>
      <c r="C7" s="28" t="s">
        <v>4</v>
      </c>
      <c r="D7" s="28" t="s">
        <v>18</v>
      </c>
      <c r="E7" s="28" t="s">
        <v>9</v>
      </c>
      <c r="F7" s="28" t="s">
        <v>19</v>
      </c>
      <c r="I7" s="29">
        <v>642805.11</v>
      </c>
      <c r="J7" s="29">
        <v>0</v>
      </c>
      <c r="K7" s="29"/>
      <c r="L7" s="29"/>
      <c r="M7" s="51"/>
      <c r="N7" s="51"/>
      <c r="O7" s="29">
        <v>0</v>
      </c>
      <c r="Q7" s="1" t="s">
        <v>124</v>
      </c>
      <c r="T7" s="1">
        <f>56896.31/3</f>
        <v>18965.436666666665</v>
      </c>
      <c r="U7" s="1">
        <f>V7+18900</f>
        <v>18900</v>
      </c>
    </row>
    <row r="8" spans="1:22" s="1" customFormat="1" hidden="1" x14ac:dyDescent="0.3">
      <c r="A8" s="5">
        <v>45968</v>
      </c>
      <c r="B8" s="6" t="s">
        <v>28</v>
      </c>
      <c r="C8" s="6" t="s">
        <v>27</v>
      </c>
      <c r="D8" s="6" t="s">
        <v>16</v>
      </c>
      <c r="E8" s="23" t="s">
        <v>22</v>
      </c>
      <c r="F8" s="6" t="s">
        <v>29</v>
      </c>
      <c r="I8" s="4">
        <v>0</v>
      </c>
      <c r="J8" s="4">
        <v>0</v>
      </c>
      <c r="K8" s="4"/>
      <c r="L8" s="4"/>
      <c r="M8" s="51"/>
      <c r="N8" s="51"/>
      <c r="O8" s="4">
        <v>0</v>
      </c>
    </row>
    <row r="9" spans="1:22" s="1" customFormat="1" x14ac:dyDescent="0.3">
      <c r="A9" s="26">
        <v>45975</v>
      </c>
      <c r="B9" s="28" t="s">
        <v>40</v>
      </c>
      <c r="C9" s="28"/>
      <c r="D9" s="28" t="s">
        <v>16</v>
      </c>
      <c r="E9" s="28" t="s">
        <v>9</v>
      </c>
      <c r="F9" s="28" t="s">
        <v>19</v>
      </c>
      <c r="I9" s="29"/>
      <c r="J9" s="38">
        <v>707943.48</v>
      </c>
      <c r="K9" s="29"/>
      <c r="L9" s="29"/>
      <c r="M9" s="51"/>
      <c r="N9" s="51"/>
      <c r="O9" s="29">
        <v>11437878.51</v>
      </c>
      <c r="P9" s="1" t="s">
        <v>81</v>
      </c>
    </row>
    <row r="10" spans="1:22" s="1" customFormat="1" x14ac:dyDescent="0.3">
      <c r="A10" s="26">
        <v>45978</v>
      </c>
      <c r="B10" s="28" t="s">
        <v>41</v>
      </c>
      <c r="C10" s="28" t="s">
        <v>42</v>
      </c>
      <c r="D10" s="28" t="s">
        <v>16</v>
      </c>
      <c r="E10" s="28" t="s">
        <v>9</v>
      </c>
      <c r="F10" s="28" t="s">
        <v>43</v>
      </c>
      <c r="G10" s="3"/>
      <c r="I10" s="29">
        <f>373277.7+560260</f>
        <v>933537.7</v>
      </c>
      <c r="J10" s="29">
        <v>0</v>
      </c>
      <c r="K10" s="182">
        <v>260360</v>
      </c>
      <c r="L10" s="29"/>
      <c r="M10" s="51"/>
      <c r="N10" s="51"/>
      <c r="O10" s="29">
        <v>0</v>
      </c>
      <c r="V10" s="1">
        <v>117993.79</v>
      </c>
    </row>
    <row r="11" spans="1:22" s="1" customFormat="1" hidden="1" x14ac:dyDescent="0.3">
      <c r="A11" s="5">
        <v>45978</v>
      </c>
      <c r="B11" s="23" t="s">
        <v>44</v>
      </c>
      <c r="C11" s="6" t="s">
        <v>45</v>
      </c>
      <c r="D11" s="6" t="s">
        <v>16</v>
      </c>
      <c r="E11" s="23" t="s">
        <v>22</v>
      </c>
      <c r="F11" s="6" t="s">
        <v>46</v>
      </c>
      <c r="I11" s="4">
        <v>778264.12</v>
      </c>
      <c r="J11" s="4">
        <v>0</v>
      </c>
      <c r="K11" s="4"/>
      <c r="L11" s="4"/>
      <c r="M11" s="51"/>
      <c r="N11" s="51"/>
      <c r="O11" s="4">
        <v>0</v>
      </c>
    </row>
    <row r="12" spans="1:22" s="1" customFormat="1" x14ac:dyDescent="0.3">
      <c r="A12" s="26">
        <v>45987</v>
      </c>
      <c r="B12" s="27" t="s">
        <v>51</v>
      </c>
      <c r="C12" s="28" t="s">
        <v>60</v>
      </c>
      <c r="D12" s="28" t="s">
        <v>16</v>
      </c>
      <c r="E12" s="28" t="s">
        <v>9</v>
      </c>
      <c r="F12" s="28" t="s">
        <v>66</v>
      </c>
      <c r="G12" s="3"/>
      <c r="I12" s="29" t="s">
        <v>50</v>
      </c>
      <c r="J12" s="29">
        <v>1548067.5</v>
      </c>
      <c r="K12" s="29"/>
      <c r="L12" s="29"/>
      <c r="M12" s="51"/>
      <c r="N12" s="51"/>
      <c r="O12" s="29">
        <v>7266275.3300000001</v>
      </c>
    </row>
    <row r="13" spans="1:22" s="1" customFormat="1" x14ac:dyDescent="0.3">
      <c r="A13" s="26">
        <v>45987</v>
      </c>
      <c r="B13" s="27" t="s">
        <v>53</v>
      </c>
      <c r="C13" s="27" t="s">
        <v>6</v>
      </c>
      <c r="D13" s="28" t="s">
        <v>16</v>
      </c>
      <c r="E13" s="28" t="s">
        <v>9</v>
      </c>
      <c r="F13" s="28" t="s">
        <v>17</v>
      </c>
      <c r="I13" s="29">
        <v>2913131.98</v>
      </c>
      <c r="J13" s="29">
        <v>1047001.63</v>
      </c>
      <c r="K13" s="29"/>
      <c r="L13" s="29"/>
      <c r="M13" s="51"/>
      <c r="N13" s="51"/>
      <c r="O13" s="29">
        <v>10016407.119999999</v>
      </c>
    </row>
    <row r="14" spans="1:22" s="1" customFormat="1" x14ac:dyDescent="0.3">
      <c r="A14" s="36">
        <v>46004</v>
      </c>
      <c r="B14" s="33" t="s">
        <v>77</v>
      </c>
      <c r="C14" s="34" t="s">
        <v>76</v>
      </c>
      <c r="D14" s="28" t="s">
        <v>16</v>
      </c>
      <c r="E14" s="28" t="s">
        <v>9</v>
      </c>
      <c r="F14" s="28" t="s">
        <v>19</v>
      </c>
      <c r="I14" s="29" t="s">
        <v>50</v>
      </c>
      <c r="J14" s="29">
        <v>664997.86</v>
      </c>
      <c r="K14" s="29"/>
      <c r="L14" s="29"/>
      <c r="M14" s="51"/>
      <c r="N14" s="51"/>
      <c r="O14" s="29">
        <v>0</v>
      </c>
    </row>
    <row r="15" spans="1:22" s="1" customFormat="1" x14ac:dyDescent="0.3">
      <c r="A15" s="36">
        <v>46004</v>
      </c>
      <c r="B15" s="33" t="s">
        <v>74</v>
      </c>
      <c r="C15" s="34" t="s">
        <v>75</v>
      </c>
      <c r="D15" s="28" t="s">
        <v>16</v>
      </c>
      <c r="E15" s="28" t="s">
        <v>9</v>
      </c>
      <c r="F15" s="28" t="s">
        <v>19</v>
      </c>
      <c r="I15" s="63">
        <f>560700</f>
        <v>560700</v>
      </c>
      <c r="J15" s="29">
        <v>307600.53000000003</v>
      </c>
      <c r="K15" s="29"/>
      <c r="L15" s="29"/>
      <c r="M15" s="51"/>
      <c r="N15" s="51"/>
      <c r="O15" s="29">
        <v>0</v>
      </c>
    </row>
    <row r="16" spans="1:22" s="1" customFormat="1" x14ac:dyDescent="0.3">
      <c r="A16" s="36">
        <v>46007</v>
      </c>
      <c r="B16" s="35" t="s">
        <v>88</v>
      </c>
      <c r="C16" s="35"/>
      <c r="D16" s="28" t="s">
        <v>16</v>
      </c>
      <c r="E16" s="35" t="s">
        <v>9</v>
      </c>
      <c r="F16" s="35"/>
      <c r="I16" s="29">
        <f>318000+280300</f>
        <v>598300</v>
      </c>
      <c r="J16" s="29">
        <v>0</v>
      </c>
      <c r="K16" s="63">
        <v>250600</v>
      </c>
      <c r="L16" s="29"/>
      <c r="M16" s="51"/>
      <c r="N16" s="51"/>
      <c r="O16" s="29">
        <v>0</v>
      </c>
    </row>
    <row r="17" spans="1:16" s="1" customFormat="1" x14ac:dyDescent="0.3">
      <c r="A17" s="36">
        <v>46007</v>
      </c>
      <c r="B17" s="35" t="s">
        <v>90</v>
      </c>
      <c r="C17" s="35"/>
      <c r="D17" s="28" t="s">
        <v>16</v>
      </c>
      <c r="E17" s="35" t="s">
        <v>9</v>
      </c>
      <c r="F17" s="35"/>
      <c r="G17" s="3"/>
      <c r="I17" s="29">
        <v>1484315.4</v>
      </c>
      <c r="J17" s="29">
        <v>0</v>
      </c>
      <c r="K17" s="29">
        <f>244589.91*32%+244589.91</f>
        <v>322858.68119999999</v>
      </c>
      <c r="L17" s="29"/>
      <c r="M17" s="51">
        <v>1484315.43</v>
      </c>
      <c r="N17" s="51"/>
      <c r="O17" s="29">
        <v>25809822.41</v>
      </c>
      <c r="P17" s="3"/>
    </row>
    <row r="18" spans="1:16" s="1" customFormat="1" x14ac:dyDescent="0.3">
      <c r="A18" s="36">
        <v>46007</v>
      </c>
      <c r="B18" s="35" t="s">
        <v>83</v>
      </c>
      <c r="C18" s="35"/>
      <c r="D18" s="28" t="s">
        <v>16</v>
      </c>
      <c r="E18" s="35" t="s">
        <v>9</v>
      </c>
      <c r="F18" s="35"/>
      <c r="I18" s="63">
        <v>30100</v>
      </c>
      <c r="J18" s="29">
        <v>132566</v>
      </c>
      <c r="K18" s="29">
        <v>0</v>
      </c>
      <c r="L18" s="29"/>
      <c r="M18" s="51"/>
      <c r="N18" s="51"/>
      <c r="O18" s="29">
        <v>0</v>
      </c>
    </row>
    <row r="19" spans="1:16" s="1" customFormat="1" x14ac:dyDescent="0.3">
      <c r="A19" s="36">
        <v>46007</v>
      </c>
      <c r="B19" s="64" t="s">
        <v>89</v>
      </c>
      <c r="C19" s="35"/>
      <c r="D19" s="28" t="s">
        <v>16</v>
      </c>
      <c r="E19" s="35"/>
      <c r="F19" s="35"/>
      <c r="I19" s="29" t="s">
        <v>50</v>
      </c>
      <c r="J19" s="29">
        <v>0</v>
      </c>
      <c r="K19" s="29">
        <v>0</v>
      </c>
      <c r="L19" s="29"/>
      <c r="M19" s="51"/>
      <c r="N19" s="51"/>
      <c r="O19" s="29">
        <v>0</v>
      </c>
    </row>
    <row r="20" spans="1:16" s="1" customFormat="1" hidden="1" x14ac:dyDescent="0.3">
      <c r="A20" s="45">
        <v>46008</v>
      </c>
      <c r="B20" s="46" t="s">
        <v>91</v>
      </c>
      <c r="C20" s="46" t="s">
        <v>95</v>
      </c>
      <c r="D20" s="28" t="s">
        <v>16</v>
      </c>
      <c r="E20" s="47"/>
      <c r="F20" s="47"/>
      <c r="I20" s="29">
        <v>36904.1</v>
      </c>
      <c r="J20" s="29">
        <v>0</v>
      </c>
      <c r="K20" s="29">
        <v>86290.71</v>
      </c>
      <c r="L20" s="29"/>
      <c r="M20" s="51">
        <v>654351.76</v>
      </c>
      <c r="N20" s="51"/>
      <c r="O20" s="29">
        <v>0</v>
      </c>
    </row>
    <row r="21" spans="1:16" s="1" customFormat="1" hidden="1" x14ac:dyDescent="0.3">
      <c r="A21" s="48">
        <v>46008</v>
      </c>
      <c r="B21" s="46" t="s">
        <v>96</v>
      </c>
      <c r="C21" s="50" t="s">
        <v>97</v>
      </c>
      <c r="D21" s="28" t="s">
        <v>16</v>
      </c>
      <c r="E21" s="47"/>
      <c r="F21" s="47"/>
      <c r="I21" s="29" t="s">
        <v>50</v>
      </c>
      <c r="J21" s="29">
        <v>0</v>
      </c>
      <c r="K21" s="29">
        <v>0</v>
      </c>
      <c r="L21" s="29"/>
      <c r="M21" s="51">
        <v>500742</v>
      </c>
      <c r="N21" s="51"/>
      <c r="O21" s="29">
        <v>0</v>
      </c>
    </row>
    <row r="22" spans="1:16" s="1" customFormat="1" hidden="1" x14ac:dyDescent="0.3">
      <c r="A22" s="45">
        <v>46008</v>
      </c>
      <c r="B22" s="46" t="s">
        <v>98</v>
      </c>
      <c r="C22" s="46" t="s">
        <v>99</v>
      </c>
      <c r="D22" s="28" t="s">
        <v>16</v>
      </c>
      <c r="E22" s="47"/>
      <c r="F22" s="47"/>
      <c r="I22" s="29">
        <v>30094.94</v>
      </c>
      <c r="J22" s="29">
        <v>122123.54</v>
      </c>
      <c r="K22" s="29">
        <v>0</v>
      </c>
      <c r="L22" s="29"/>
      <c r="M22" s="51">
        <v>202899.53</v>
      </c>
      <c r="N22" s="51"/>
      <c r="O22" s="29">
        <v>0</v>
      </c>
    </row>
    <row r="23" spans="1:16" s="1" customFormat="1" hidden="1" x14ac:dyDescent="0.3">
      <c r="A23" s="48">
        <v>46008</v>
      </c>
      <c r="B23" s="46" t="s">
        <v>100</v>
      </c>
      <c r="C23" s="50" t="s">
        <v>101</v>
      </c>
      <c r="D23" s="28" t="s">
        <v>16</v>
      </c>
      <c r="E23" s="47"/>
      <c r="F23" s="47"/>
      <c r="I23" s="29">
        <v>23668.49</v>
      </c>
      <c r="J23" s="29">
        <v>549451.31000000006</v>
      </c>
      <c r="K23" s="29">
        <v>158364.73000000001</v>
      </c>
      <c r="L23" s="29"/>
      <c r="M23" s="51"/>
      <c r="N23" s="51"/>
      <c r="O23" s="29">
        <v>0</v>
      </c>
    </row>
    <row r="24" spans="1:16" s="1" customFormat="1" x14ac:dyDescent="0.3">
      <c r="A24" s="48">
        <v>46008</v>
      </c>
      <c r="B24" s="57" t="s">
        <v>79</v>
      </c>
      <c r="C24" s="47" t="s">
        <v>84</v>
      </c>
      <c r="D24" s="28" t="s">
        <v>16</v>
      </c>
      <c r="E24" s="47" t="s">
        <v>9</v>
      </c>
      <c r="F24" s="47"/>
      <c r="I24" s="63">
        <v>150000</v>
      </c>
      <c r="J24" s="29">
        <v>647083.86</v>
      </c>
      <c r="K24" s="29">
        <v>0</v>
      </c>
      <c r="L24" s="29"/>
      <c r="M24" s="51"/>
      <c r="N24" s="51"/>
      <c r="O24" s="29">
        <v>0</v>
      </c>
    </row>
    <row r="25" spans="1:16" s="1" customFormat="1" hidden="1" x14ac:dyDescent="0.3">
      <c r="A25" s="45">
        <v>46008</v>
      </c>
      <c r="B25" s="54" t="s">
        <v>109</v>
      </c>
      <c r="C25" s="55" t="s">
        <v>110</v>
      </c>
      <c r="D25" s="28" t="s">
        <v>16</v>
      </c>
      <c r="E25" s="47"/>
      <c r="F25" s="47"/>
      <c r="I25" s="29" t="s">
        <v>50</v>
      </c>
      <c r="J25" s="29">
        <v>60536.11</v>
      </c>
      <c r="K25" s="29">
        <v>0</v>
      </c>
      <c r="L25" s="29"/>
      <c r="M25" s="51"/>
      <c r="N25" s="51"/>
      <c r="O25" s="29">
        <v>0</v>
      </c>
    </row>
    <row r="26" spans="1:16" s="1" customFormat="1" x14ac:dyDescent="0.3">
      <c r="A26" s="45">
        <v>46008</v>
      </c>
      <c r="B26" s="59" t="s">
        <v>122</v>
      </c>
      <c r="C26" s="79" t="s">
        <v>123</v>
      </c>
      <c r="D26" s="58" t="s">
        <v>125</v>
      </c>
      <c r="E26" s="58" t="s">
        <v>126</v>
      </c>
      <c r="F26" s="58"/>
      <c r="I26" s="29">
        <v>1913869.28</v>
      </c>
      <c r="J26" s="29">
        <v>1609135.86</v>
      </c>
      <c r="K26" s="29">
        <v>0</v>
      </c>
      <c r="L26" s="29"/>
      <c r="M26" s="51">
        <v>755091</v>
      </c>
      <c r="N26" s="51"/>
      <c r="O26" s="29">
        <v>0</v>
      </c>
    </row>
    <row r="27" spans="1:16" s="1" customFormat="1" x14ac:dyDescent="0.3">
      <c r="A27" s="83">
        <v>46035</v>
      </c>
      <c r="B27" s="62" t="s">
        <v>52</v>
      </c>
      <c r="C27" s="80" t="s">
        <v>59</v>
      </c>
      <c r="D27" s="80" t="s">
        <v>125</v>
      </c>
      <c r="E27" s="81"/>
      <c r="F27" s="80" t="s">
        <v>134</v>
      </c>
      <c r="I27" s="78"/>
      <c r="J27" s="78"/>
      <c r="K27" s="78">
        <v>1238461.48</v>
      </c>
      <c r="L27" s="78"/>
      <c r="M27" s="78"/>
      <c r="N27" s="78"/>
      <c r="O27" s="78">
        <v>69435690.280000001</v>
      </c>
      <c r="P27" s="56"/>
    </row>
    <row r="28" spans="1:16" s="1" customFormat="1" x14ac:dyDescent="0.3">
      <c r="A28" s="83">
        <v>46035</v>
      </c>
      <c r="B28" s="84" t="s">
        <v>136</v>
      </c>
      <c r="C28" s="86" t="s">
        <v>137</v>
      </c>
      <c r="D28" s="80" t="s">
        <v>125</v>
      </c>
      <c r="E28" s="81"/>
      <c r="F28" s="81" t="s">
        <v>134</v>
      </c>
      <c r="I28" s="78"/>
      <c r="J28" s="78">
        <v>1668605.04</v>
      </c>
      <c r="K28" s="78">
        <v>196871.06</v>
      </c>
      <c r="L28" s="78"/>
      <c r="M28" s="78">
        <v>867813.12</v>
      </c>
      <c r="N28" s="78"/>
      <c r="O28" s="78"/>
      <c r="P28" s="56"/>
    </row>
    <row r="29" spans="1:16" s="1" customFormat="1" x14ac:dyDescent="0.3">
      <c r="A29" s="83">
        <v>46035</v>
      </c>
      <c r="B29" s="82" t="s">
        <v>55</v>
      </c>
      <c r="C29" s="85" t="s">
        <v>62</v>
      </c>
      <c r="D29" s="80" t="s">
        <v>125</v>
      </c>
      <c r="E29" s="81"/>
      <c r="F29" s="81" t="s">
        <v>134</v>
      </c>
      <c r="I29" s="78">
        <v>80560</v>
      </c>
      <c r="J29" s="78">
        <v>420212.41</v>
      </c>
      <c r="K29" s="78">
        <v>2283.29</v>
      </c>
      <c r="L29" s="78"/>
      <c r="M29" s="78">
        <v>134852.29</v>
      </c>
      <c r="N29" s="78"/>
      <c r="O29" s="78"/>
      <c r="P29" s="56"/>
    </row>
    <row r="30" spans="1:16" s="1" customFormat="1" x14ac:dyDescent="0.3">
      <c r="A30" s="83">
        <v>46035</v>
      </c>
      <c r="B30" s="84" t="s">
        <v>135</v>
      </c>
      <c r="C30" s="85" t="s">
        <v>138</v>
      </c>
      <c r="D30" s="80" t="s">
        <v>125</v>
      </c>
      <c r="E30" s="81"/>
      <c r="F30" s="81" t="s">
        <v>134</v>
      </c>
      <c r="I30" s="78">
        <f>65444.12+350150</f>
        <v>415594.12</v>
      </c>
      <c r="J30" s="78">
        <f>166415.66*47%+166415.66</f>
        <v>244631.0202</v>
      </c>
      <c r="K30" s="78">
        <v>12131.07</v>
      </c>
      <c r="L30" s="78"/>
      <c r="M30" s="78">
        <v>93215.06</v>
      </c>
      <c r="N30" s="78"/>
      <c r="O30" s="78"/>
      <c r="P30" s="56"/>
    </row>
    <row r="31" spans="1:16" s="1" customFormat="1" x14ac:dyDescent="0.3">
      <c r="A31" s="83">
        <v>46035</v>
      </c>
      <c r="B31" s="84" t="s">
        <v>54</v>
      </c>
      <c r="C31" s="85" t="s">
        <v>61</v>
      </c>
      <c r="D31" s="80" t="s">
        <v>125</v>
      </c>
      <c r="E31" s="81"/>
      <c r="F31" s="81" t="s">
        <v>134</v>
      </c>
      <c r="I31" s="78">
        <v>250360</v>
      </c>
      <c r="J31" s="78">
        <v>956644.91</v>
      </c>
      <c r="K31" s="78">
        <f>22728.26+200260</f>
        <v>222988.26</v>
      </c>
      <c r="L31" s="78"/>
      <c r="M31" s="78">
        <v>385910.66</v>
      </c>
      <c r="N31" s="78"/>
      <c r="O31" s="78"/>
      <c r="P31" s="56"/>
    </row>
    <row r="32" spans="1:16" s="1" customFormat="1" x14ac:dyDescent="0.3">
      <c r="A32" s="83">
        <v>46035</v>
      </c>
      <c r="B32" s="84" t="s">
        <v>58</v>
      </c>
      <c r="C32" s="85"/>
      <c r="D32" s="80" t="s">
        <v>125</v>
      </c>
      <c r="E32" s="81"/>
      <c r="F32" s="81" t="s">
        <v>134</v>
      </c>
      <c r="I32" s="78">
        <v>100560</v>
      </c>
      <c r="J32" s="78">
        <v>312522.82</v>
      </c>
      <c r="K32" s="78">
        <v>4879.67</v>
      </c>
      <c r="L32" s="78"/>
      <c r="M32" s="78">
        <v>155295.57999999999</v>
      </c>
      <c r="N32" s="78"/>
      <c r="O32" s="78">
        <v>0</v>
      </c>
      <c r="P32" s="56"/>
    </row>
    <row r="33" spans="1:16" s="1" customFormat="1" x14ac:dyDescent="0.3">
      <c r="A33" s="83">
        <v>46035</v>
      </c>
      <c r="B33" s="180" t="s">
        <v>57</v>
      </c>
      <c r="C33" s="85" t="s">
        <v>180</v>
      </c>
      <c r="D33" s="80" t="s">
        <v>125</v>
      </c>
      <c r="E33" s="81"/>
      <c r="F33" s="81" t="s">
        <v>134</v>
      </c>
      <c r="I33" s="78">
        <f>59198.8+14795.54+3831.28+202634.68</f>
        <v>280460.3</v>
      </c>
      <c r="J33" s="78">
        <v>1146481.03</v>
      </c>
      <c r="K33" s="78">
        <v>173889.96</v>
      </c>
      <c r="L33" s="78"/>
      <c r="M33" s="78">
        <v>527184.36</v>
      </c>
      <c r="N33" s="78"/>
      <c r="O33" s="78">
        <v>0</v>
      </c>
      <c r="P33" s="56"/>
    </row>
    <row r="34" spans="1:16" s="1" customFormat="1" x14ac:dyDescent="0.3">
      <c r="A34" s="83">
        <v>46035</v>
      </c>
      <c r="B34" s="84" t="s">
        <v>56</v>
      </c>
      <c r="C34" s="85" t="s">
        <v>63</v>
      </c>
      <c r="D34" s="80" t="s">
        <v>125</v>
      </c>
      <c r="E34" s="81"/>
      <c r="F34" s="81" t="s">
        <v>134</v>
      </c>
      <c r="I34" s="78">
        <f>90560</f>
        <v>90560</v>
      </c>
      <c r="J34" s="78"/>
      <c r="K34" s="78">
        <f>26911.21*42%+26911.21</f>
        <v>38213.9182</v>
      </c>
      <c r="L34" s="78"/>
      <c r="M34" s="78">
        <v>283514.39</v>
      </c>
      <c r="N34" s="78"/>
      <c r="O34" s="78"/>
      <c r="P34" s="56"/>
    </row>
    <row r="35" spans="1:16" s="1" customFormat="1" x14ac:dyDescent="0.3">
      <c r="A35" s="97">
        <v>46037</v>
      </c>
      <c r="B35" s="84" t="s">
        <v>152</v>
      </c>
      <c r="C35" s="86" t="s">
        <v>153</v>
      </c>
      <c r="D35" s="80" t="s">
        <v>125</v>
      </c>
      <c r="E35" s="81"/>
      <c r="F35" s="81" t="s">
        <v>225</v>
      </c>
      <c r="I35" s="78">
        <v>1050143.72</v>
      </c>
      <c r="J35" s="78">
        <v>127712.31</v>
      </c>
      <c r="K35" s="78"/>
      <c r="L35" s="78"/>
      <c r="M35" s="78">
        <v>102282.67</v>
      </c>
      <c r="N35" s="78"/>
      <c r="O35" s="78"/>
      <c r="P35" s="56"/>
    </row>
    <row r="36" spans="1:16" s="1" customFormat="1" x14ac:dyDescent="0.3">
      <c r="A36" s="97">
        <v>46037</v>
      </c>
      <c r="B36" s="84" t="s">
        <v>157</v>
      </c>
      <c r="C36" s="86" t="s">
        <v>158</v>
      </c>
      <c r="D36" s="80" t="s">
        <v>125</v>
      </c>
      <c r="E36" s="81"/>
      <c r="F36" s="81" t="s">
        <v>225</v>
      </c>
      <c r="I36" s="78">
        <v>358617.91</v>
      </c>
      <c r="J36" s="78">
        <v>206005.26</v>
      </c>
      <c r="K36" s="78"/>
      <c r="L36" s="78"/>
      <c r="M36" s="78">
        <v>100616.03</v>
      </c>
      <c r="N36" s="78"/>
      <c r="O36" s="78"/>
      <c r="P36" s="56"/>
    </row>
    <row r="37" spans="1:16" x14ac:dyDescent="0.3">
      <c r="A37" s="98">
        <v>46037</v>
      </c>
      <c r="B37" s="124" t="s">
        <v>154</v>
      </c>
      <c r="C37" s="125" t="s">
        <v>155</v>
      </c>
      <c r="D37" s="126" t="s">
        <v>125</v>
      </c>
      <c r="E37" s="127"/>
      <c r="F37" s="127" t="s">
        <v>225</v>
      </c>
      <c r="G37" s="1"/>
      <c r="I37" s="105">
        <v>677054.61</v>
      </c>
      <c r="J37" s="105">
        <v>61872.72</v>
      </c>
      <c r="K37" s="37"/>
      <c r="L37" s="37"/>
      <c r="M37" s="37">
        <v>54882.96</v>
      </c>
      <c r="N37" s="37"/>
      <c r="O37" s="37"/>
    </row>
    <row r="38" spans="1:16" hidden="1" x14ac:dyDescent="0.3">
      <c r="A38" s="129">
        <v>46048</v>
      </c>
      <c r="B38" s="84" t="s">
        <v>196</v>
      </c>
      <c r="C38" s="86" t="s">
        <v>197</v>
      </c>
      <c r="D38" s="128" t="s">
        <v>125</v>
      </c>
      <c r="E38" s="37"/>
      <c r="F38" s="37" t="s">
        <v>134</v>
      </c>
      <c r="I38" s="105">
        <v>160500.29999999999</v>
      </c>
      <c r="J38" s="105">
        <v>35260.300000000003</v>
      </c>
      <c r="K38" s="37"/>
      <c r="L38" s="37"/>
      <c r="M38" s="37"/>
      <c r="N38" s="37"/>
      <c r="O38" s="37"/>
    </row>
    <row r="39" spans="1:16" x14ac:dyDescent="0.3">
      <c r="A39" s="129">
        <v>46050</v>
      </c>
      <c r="B39" s="84" t="s">
        <v>236</v>
      </c>
      <c r="C39" s="86" t="s">
        <v>237</v>
      </c>
      <c r="D39" s="157" t="s">
        <v>240</v>
      </c>
      <c r="E39" s="37"/>
      <c r="F39" s="37" t="s">
        <v>134</v>
      </c>
      <c r="I39" s="105">
        <f>51265.4+80560.36+50210</f>
        <v>182035.76</v>
      </c>
      <c r="J39" s="105"/>
      <c r="K39" s="37"/>
      <c r="L39" s="37"/>
      <c r="M39" s="37"/>
      <c r="N39" s="37"/>
      <c r="O39" s="37"/>
    </row>
    <row r="40" spans="1:16" x14ac:dyDescent="0.3">
      <c r="A40" s="129">
        <v>46050</v>
      </c>
      <c r="B40" s="84" t="s">
        <v>238</v>
      </c>
      <c r="C40" s="86" t="s">
        <v>239</v>
      </c>
      <c r="D40" s="157" t="s">
        <v>16</v>
      </c>
      <c r="E40" s="37"/>
      <c r="F40" s="37" t="s">
        <v>134</v>
      </c>
      <c r="I40" s="105">
        <v>110745.4</v>
      </c>
      <c r="J40" s="105"/>
      <c r="K40" s="37"/>
      <c r="L40" s="37"/>
      <c r="M40" s="37"/>
      <c r="N40" s="37"/>
      <c r="O40" s="37"/>
    </row>
    <row r="41" spans="1:16" x14ac:dyDescent="0.3">
      <c r="A41" s="129">
        <v>46058</v>
      </c>
      <c r="B41" s="84" t="s">
        <v>248</v>
      </c>
      <c r="C41" s="86"/>
      <c r="D41" s="157"/>
      <c r="E41" s="37"/>
      <c r="F41" s="37"/>
      <c r="I41" s="39">
        <v>547286.69999999995</v>
      </c>
      <c r="J41" s="39">
        <v>3032528.01</v>
      </c>
      <c r="K41" s="39">
        <v>39742.120000000003</v>
      </c>
      <c r="L41" s="37"/>
      <c r="M41" s="37"/>
      <c r="N41" s="37"/>
      <c r="O41" s="37"/>
    </row>
    <row r="42" spans="1:16" x14ac:dyDescent="0.3">
      <c r="A42" s="129">
        <v>46058</v>
      </c>
      <c r="B42" s="84" t="s">
        <v>249</v>
      </c>
      <c r="C42" s="86"/>
      <c r="D42" s="157"/>
      <c r="E42" s="37"/>
      <c r="F42" s="37"/>
      <c r="I42" s="39">
        <v>3654756.61</v>
      </c>
      <c r="J42" s="39">
        <v>3638826.96</v>
      </c>
      <c r="K42" s="39">
        <v>183409.97</v>
      </c>
      <c r="L42" s="37"/>
      <c r="M42" s="37"/>
      <c r="N42" s="37"/>
      <c r="O42" s="37"/>
    </row>
    <row r="43" spans="1:16" x14ac:dyDescent="0.3">
      <c r="A43" s="129">
        <v>46078</v>
      </c>
      <c r="B43" s="84" t="s">
        <v>253</v>
      </c>
      <c r="C43" s="86"/>
      <c r="D43" s="157"/>
      <c r="E43" s="37"/>
      <c r="F43" s="37"/>
      <c r="I43" s="105">
        <v>200250.6</v>
      </c>
      <c r="J43" s="105"/>
      <c r="K43" s="37"/>
      <c r="L43" s="37"/>
      <c r="M43" s="37"/>
      <c r="N43" s="37"/>
      <c r="O43" s="37"/>
    </row>
    <row r="44" spans="1:16" x14ac:dyDescent="0.3">
      <c r="A44" s="129">
        <v>46098</v>
      </c>
      <c r="B44" s="84" t="s">
        <v>255</v>
      </c>
      <c r="C44" s="86"/>
      <c r="D44" s="157"/>
      <c r="E44" s="37"/>
      <c r="F44" s="37"/>
      <c r="I44" s="105">
        <v>4264340.57</v>
      </c>
      <c r="J44" s="105">
        <v>2840879.74</v>
      </c>
      <c r="K44" s="37">
        <v>119503.56</v>
      </c>
      <c r="L44" s="37"/>
      <c r="M44" s="37"/>
      <c r="N44" s="37"/>
      <c r="O44" s="37"/>
    </row>
    <row r="45" spans="1:16" x14ac:dyDescent="0.3">
      <c r="A45" s="129">
        <v>46132</v>
      </c>
      <c r="B45" s="84" t="s">
        <v>267</v>
      </c>
      <c r="C45" s="86"/>
      <c r="D45" s="157"/>
      <c r="E45" s="37"/>
      <c r="F45" s="37"/>
      <c r="I45" s="231"/>
      <c r="J45" s="105"/>
      <c r="K45" s="37"/>
      <c r="L45" s="37"/>
      <c r="M45" s="37"/>
      <c r="N45" s="37">
        <v>759841.94</v>
      </c>
      <c r="O45" s="37"/>
    </row>
    <row r="46" spans="1:16" x14ac:dyDescent="0.3">
      <c r="A46" s="129"/>
      <c r="B46" s="84" t="s">
        <v>273</v>
      </c>
      <c r="C46" s="86"/>
      <c r="D46" s="157"/>
      <c r="E46" s="37"/>
      <c r="F46" s="37"/>
      <c r="I46" s="184">
        <v>151500</v>
      </c>
      <c r="J46" s="184"/>
    </row>
    <row r="47" spans="1:16" x14ac:dyDescent="0.3">
      <c r="A47" s="179"/>
      <c r="B47" s="37"/>
      <c r="C47" s="37"/>
      <c r="D47" s="37"/>
      <c r="E47" s="37"/>
      <c r="F47" s="37"/>
      <c r="I47" s="108">
        <f>SUM(I2:I44)</f>
        <v>25449157.129999999</v>
      </c>
      <c r="J47" s="108">
        <f>SUM(J2:J43)</f>
        <v>22624260.1602</v>
      </c>
      <c r="K47" s="108">
        <f>SUM(K2:K43)</f>
        <v>3191344.9194000005</v>
      </c>
      <c r="L47" s="108">
        <f t="shared" ref="L47:O47" si="0">SUM(L2:L38)</f>
        <v>722125.02</v>
      </c>
      <c r="M47" s="108">
        <f t="shared" si="0"/>
        <v>6302966.8399999999</v>
      </c>
      <c r="N47" s="108"/>
      <c r="O47" s="108">
        <f t="shared" si="0"/>
        <v>150908380.5</v>
      </c>
    </row>
    <row r="49" spans="1:15" x14ac:dyDescent="0.3">
      <c r="A49" s="142" t="s">
        <v>222</v>
      </c>
      <c r="B49" s="142"/>
      <c r="C49" s="142"/>
      <c r="D49" s="142"/>
      <c r="E49" s="142"/>
      <c r="F49" s="142"/>
      <c r="G49" s="142"/>
      <c r="H49" s="142"/>
      <c r="I49" s="141">
        <f>I47+J47+K47+L47</f>
        <v>51986887.229599997</v>
      </c>
      <c r="J49" s="142"/>
      <c r="K49" s="142"/>
      <c r="L49" s="142"/>
      <c r="M49" s="142"/>
      <c r="N49" s="142"/>
      <c r="O49" s="142"/>
    </row>
    <row r="51" spans="1:15" x14ac:dyDescent="0.3">
      <c r="I51">
        <v>80560.36</v>
      </c>
    </row>
    <row r="52" spans="1:15" x14ac:dyDescent="0.3">
      <c r="I52">
        <f>I51+8795.54</f>
        <v>89355.9</v>
      </c>
    </row>
    <row r="65" spans="1:22" s="1" customFormat="1" x14ac:dyDescent="0.3">
      <c r="B65" s="52" t="s">
        <v>105</v>
      </c>
      <c r="I65" s="56"/>
      <c r="J65" s="56"/>
      <c r="K65" s="56"/>
      <c r="L65" s="56"/>
      <c r="M65" s="56"/>
      <c r="N65" s="56"/>
      <c r="O65" s="56"/>
      <c r="P65" s="56"/>
    </row>
    <row r="66" spans="1:22" s="1" customFormat="1" x14ac:dyDescent="0.3">
      <c r="B66" s="52" t="s">
        <v>91</v>
      </c>
      <c r="C66" s="52" t="s">
        <v>102</v>
      </c>
      <c r="I66" s="56"/>
      <c r="J66" s="56"/>
      <c r="K66" s="56"/>
      <c r="L66" s="56"/>
      <c r="M66" s="56"/>
      <c r="N66" s="56"/>
      <c r="O66" s="56"/>
      <c r="P66" s="56"/>
    </row>
    <row r="67" spans="1:22" s="1" customFormat="1" x14ac:dyDescent="0.3">
      <c r="B67" s="52" t="s">
        <v>103</v>
      </c>
    </row>
    <row r="68" spans="1:22" s="1" customFormat="1" x14ac:dyDescent="0.3">
      <c r="B68" s="52" t="s">
        <v>106</v>
      </c>
    </row>
    <row r="69" spans="1:22" s="1" customFormat="1" x14ac:dyDescent="0.3">
      <c r="B69" s="52" t="s">
        <v>104</v>
      </c>
    </row>
    <row r="70" spans="1:22" s="1" customFormat="1" x14ac:dyDescent="0.3"/>
    <row r="71" spans="1:22" s="1" customFormat="1" x14ac:dyDescent="0.3"/>
    <row r="72" spans="1:22" s="1" customFormat="1" x14ac:dyDescent="0.3">
      <c r="A72" s="1" t="s">
        <v>111</v>
      </c>
      <c r="I72" s="1" t="s">
        <v>112</v>
      </c>
      <c r="J72" s="1" t="s">
        <v>113</v>
      </c>
      <c r="K72" s="1" t="s">
        <v>114</v>
      </c>
      <c r="O72" s="1" t="s">
        <v>115</v>
      </c>
    </row>
    <row r="73" spans="1:22" s="1" customFormat="1" x14ac:dyDescent="0.3">
      <c r="A73" s="26">
        <v>45965</v>
      </c>
      <c r="B73" s="28" t="s">
        <v>15</v>
      </c>
      <c r="C73" s="28" t="s">
        <v>5</v>
      </c>
      <c r="D73" s="28" t="s">
        <v>16</v>
      </c>
      <c r="E73" s="28" t="s">
        <v>9</v>
      </c>
      <c r="F73" s="28" t="s">
        <v>17</v>
      </c>
      <c r="I73" s="29">
        <v>2407515.09</v>
      </c>
      <c r="J73" s="29">
        <v>3376449.69</v>
      </c>
      <c r="K73" s="29">
        <f>I73-O73</f>
        <v>2076426.91</v>
      </c>
      <c r="L73" s="29"/>
      <c r="M73" s="51"/>
      <c r="N73" s="51"/>
      <c r="O73" s="29">
        <v>331088.18</v>
      </c>
      <c r="P73" s="1" t="s">
        <v>116</v>
      </c>
      <c r="S73" s="1">
        <f>8109637.83*7.6%</f>
        <v>616332.47508</v>
      </c>
      <c r="T73" s="1">
        <f>8109637.83*1.65%</f>
        <v>133809.02419500001</v>
      </c>
      <c r="U73" s="1">
        <f>S73+T73</f>
        <v>750141.49927500007</v>
      </c>
      <c r="V73" s="3">
        <f>S73-O73</f>
        <v>285244.29508000001</v>
      </c>
    </row>
    <row r="74" spans="1:22" s="1" customFormat="1" x14ac:dyDescent="0.3">
      <c r="A74" s="1">
        <v>2022</v>
      </c>
      <c r="B74" s="1" t="s">
        <v>117</v>
      </c>
    </row>
    <row r="75" spans="1:22" s="1" customFormat="1" x14ac:dyDescent="0.3">
      <c r="B75" s="56">
        <f>2633663.67*7.6%</f>
        <v>200158.43891999999</v>
      </c>
    </row>
    <row r="76" spans="1:22" s="1" customFormat="1" x14ac:dyDescent="0.3"/>
    <row r="77" spans="1:22" s="1" customFormat="1" x14ac:dyDescent="0.3">
      <c r="A77" s="1" t="s">
        <v>118</v>
      </c>
    </row>
    <row r="78" spans="1:22" s="1" customFormat="1" x14ac:dyDescent="0.3">
      <c r="A78" s="1" t="s">
        <v>121</v>
      </c>
    </row>
    <row r="79" spans="1:22" s="1" customFormat="1" x14ac:dyDescent="0.3">
      <c r="A79" s="1" t="s">
        <v>119</v>
      </c>
    </row>
    <row r="80" spans="1:22" s="1" customFormat="1" x14ac:dyDescent="0.3">
      <c r="A80" s="1" t="s">
        <v>120</v>
      </c>
    </row>
    <row r="81" s="1" customFormat="1" x14ac:dyDescent="0.3"/>
    <row r="82" s="1" customFormat="1" x14ac:dyDescent="0.3"/>
    <row r="83" s="1" customFormat="1" x14ac:dyDescent="0.3"/>
    <row r="84" s="1" customFormat="1" x14ac:dyDescent="0.3"/>
  </sheetData>
  <autoFilter ref="A1:V45" xr:uid="{00000000-0001-0000-0000-000000000000}">
    <filterColumn colId="1">
      <filters>
        <filter val="AP MEDEIROS"/>
        <filter val="CGX COMÉRCIO DE ALIMENTOS"/>
        <filter val="COMERCIAL 2 REZENDE ALIMENTOS LTDA"/>
        <filter val="COMERCIAL DE ALIMENTOS MANO"/>
        <filter val="COMERCIAL DE ALIMENTOS PRIMUS"/>
        <filter val="EMPORIO PETROPOLIS"/>
        <filter val="FEIRA NOVA"/>
        <filter val="GRANO E FARINA PADARIA E COMERCIO LTDA"/>
        <filter val="IMPERIUM GENEROS ALIMENTICIOS LTDA"/>
        <filter val="LGH"/>
        <filter val="MARAVISTA COMERCIO DE ALIMENTOS"/>
        <filter val="MERCADO 24 HORAS DA ROCINHA LTDA"/>
        <filter val="MERCADO UNIÃO DE NOVA BRASILIA LTDA"/>
        <filter val="MERCEARIA 6 ESTRELAS LTDA (Paulo)"/>
        <filter val="MULTI ALIMENTOS MENDANHA LTDA"/>
        <filter val="MULTIMIX"/>
        <filter val="PADARIA JANDRES"/>
        <filter val="PEROLA DE NITEROI SUPERMERCADOS LTDA"/>
        <filter val="REUNIDOS"/>
        <filter val="REZENDE ALIMENTOS CDD LTDA"/>
        <filter val="REZENDE ALIMENTOS JPA LTDA"/>
        <filter val="REZENDE ALIMENTOS NOVA HOLANDA LTDA"/>
        <filter val="SÃO FERNANDO"/>
        <filter val="SHOPPING D CARNE BOI DE OURO"/>
        <filter val="SOLIDICON"/>
        <filter val="SUPERMERCADO COURTS LTDA"/>
        <filter val="SUPERMERCADO ECONOMICO JJ LTDA"/>
        <filter val="SUPERMERCADO GUIMARAES_x000a_FILHOS LTDA"/>
        <filter val="SUPERMERCADO LIBERDADE"/>
        <filter val="SUPERMERCADOS FEIRA NOVA LTDA"/>
        <filter val="SUPREMO ( FALTA CONTRATO INSUMO E ST)"/>
        <filter val="UNIÃO DA FAMILIA MERCEARIA LTDA"/>
      </filters>
    </filterColumn>
  </autoFilter>
  <phoneticPr fontId="29" type="noConversion"/>
  <pageMargins left="0.511811024" right="0.511811024" top="0.78740157499999996" bottom="0.78740157499999996" header="0.31496062000000002" footer="0.31496062000000002"/>
  <pageSetup paperSize="9" scale="2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2"/>
  <sheetViews>
    <sheetView tabSelected="1" zoomScale="130" zoomScaleNormal="130" workbookViewId="0">
      <selection activeCell="A7" sqref="A7"/>
    </sheetView>
  </sheetViews>
  <sheetFormatPr defaultColWidth="8.6640625" defaultRowHeight="14.4" x14ac:dyDescent="0.3"/>
  <cols>
    <col min="1" max="1" width="42.5546875" customWidth="1"/>
    <col min="2" max="2" width="20.44140625" style="263" bestFit="1" customWidth="1"/>
    <col min="3" max="3" width="22" style="289" customWidth="1"/>
    <col min="4" max="5" width="14.33203125" style="289" bestFit="1" customWidth="1"/>
    <col min="6" max="6" width="15.77734375" style="289" customWidth="1"/>
    <col min="7" max="7" width="18.33203125" style="289" customWidth="1"/>
    <col min="8" max="8" width="17.88671875" style="289" customWidth="1"/>
    <col min="9" max="9" width="17.88671875" style="300" customWidth="1"/>
    <col min="10" max="10" width="14.33203125" customWidth="1"/>
    <col min="11" max="11" width="12.6640625" customWidth="1"/>
    <col min="12" max="12" width="14.33203125" customWidth="1"/>
    <col min="13" max="15" width="25.6640625" hidden="1" customWidth="1"/>
    <col min="16" max="16" width="0" hidden="1" customWidth="1"/>
  </cols>
  <sheetData>
    <row r="1" spans="1:15" x14ac:dyDescent="0.3">
      <c r="A1" s="30" t="s">
        <v>288</v>
      </c>
      <c r="B1" s="30"/>
      <c r="C1" s="30"/>
      <c r="D1" s="30"/>
      <c r="E1" s="30"/>
      <c r="F1" s="30"/>
      <c r="G1" s="30"/>
      <c r="H1" s="30"/>
      <c r="I1" s="292"/>
      <c r="J1" s="30"/>
      <c r="K1" s="30"/>
      <c r="M1" s="12"/>
    </row>
    <row r="2" spans="1:15" x14ac:dyDescent="0.3">
      <c r="A2" s="290" t="s">
        <v>30</v>
      </c>
      <c r="B2" s="290" t="s">
        <v>1</v>
      </c>
      <c r="C2" s="301" t="s">
        <v>31</v>
      </c>
      <c r="D2" s="302"/>
      <c r="E2" s="302"/>
      <c r="F2" s="302"/>
      <c r="G2" s="303"/>
      <c r="H2" s="274" t="s">
        <v>37</v>
      </c>
      <c r="I2" s="293" t="s">
        <v>224</v>
      </c>
      <c r="J2" s="290" t="s">
        <v>39</v>
      </c>
      <c r="K2" s="9"/>
      <c r="M2" s="53" t="s">
        <v>107</v>
      </c>
      <c r="N2" s="43"/>
      <c r="O2" s="43"/>
    </row>
    <row r="3" spans="1:15" x14ac:dyDescent="0.3">
      <c r="A3" s="291"/>
      <c r="B3" s="291"/>
      <c r="C3" s="8" t="s">
        <v>279</v>
      </c>
      <c r="D3" s="8" t="s">
        <v>33</v>
      </c>
      <c r="E3" s="8" t="s">
        <v>34</v>
      </c>
      <c r="F3" s="8" t="s">
        <v>131</v>
      </c>
      <c r="G3" s="8" t="s">
        <v>35</v>
      </c>
      <c r="H3" s="274"/>
      <c r="I3" s="294"/>
      <c r="J3" s="291"/>
      <c r="M3" s="8" t="s">
        <v>108</v>
      </c>
      <c r="N3" s="8" t="s">
        <v>130</v>
      </c>
      <c r="O3" s="71" t="s">
        <v>132</v>
      </c>
    </row>
    <row r="4" spans="1:15" x14ac:dyDescent="0.3">
      <c r="A4" s="70" t="s">
        <v>10</v>
      </c>
      <c r="B4" s="264" t="s">
        <v>11</v>
      </c>
      <c r="C4" s="16">
        <f>550+1617.91</f>
        <v>2167.91</v>
      </c>
      <c r="D4" s="16">
        <f>23274.52+107420.86</f>
        <v>130695.38</v>
      </c>
      <c r="E4" s="16">
        <f>40189.59+78319</f>
        <v>118508.59</v>
      </c>
      <c r="F4" s="16"/>
      <c r="G4" s="360">
        <f t="shared" ref="G4:G13" si="0">SUM(C4:E4)</f>
        <v>251371.88</v>
      </c>
      <c r="H4" s="366">
        <f>G4*20%</f>
        <v>50274.376000000004</v>
      </c>
      <c r="I4" s="295">
        <v>0.2</v>
      </c>
      <c r="J4" s="21" t="s">
        <v>289</v>
      </c>
      <c r="M4" s="17"/>
      <c r="N4" s="17"/>
      <c r="O4" s="17">
        <f>Controle!L2-'fluxo caixa dez 2025'!G4-400753.14-70000</f>
        <v>0</v>
      </c>
    </row>
    <row r="5" spans="1:15" x14ac:dyDescent="0.3">
      <c r="A5" s="216" t="s">
        <v>15</v>
      </c>
      <c r="B5" s="215" t="s">
        <v>5</v>
      </c>
      <c r="C5" s="285">
        <f>121149.25+2796.47+145792.97</f>
        <v>269738.69</v>
      </c>
      <c r="D5" s="16">
        <f>55445.15+11938.37</f>
        <v>67383.520000000004</v>
      </c>
      <c r="E5" s="16">
        <v>0</v>
      </c>
      <c r="F5" s="16"/>
      <c r="G5" s="360">
        <f t="shared" si="0"/>
        <v>337122.21</v>
      </c>
      <c r="H5" s="367">
        <f>G5*20%</f>
        <v>67424.44200000001</v>
      </c>
      <c r="I5" s="296">
        <v>0.2</v>
      </c>
      <c r="J5" s="21" t="s">
        <v>289</v>
      </c>
      <c r="M5" s="17"/>
      <c r="N5" s="17"/>
      <c r="O5" s="17"/>
    </row>
    <row r="6" spans="1:15" x14ac:dyDescent="0.3">
      <c r="A6" s="216" t="s">
        <v>3</v>
      </c>
      <c r="B6" s="215" t="s">
        <v>4</v>
      </c>
      <c r="C6" s="16">
        <f>44429.04-10380.51-613.59+30726.88-7265.51</f>
        <v>56896.310000000005</v>
      </c>
      <c r="D6" s="285">
        <f>6965.65+1512.28</f>
        <v>8477.93</v>
      </c>
      <c r="E6" s="16">
        <f>6322.64+13745.94</f>
        <v>20068.580000000002</v>
      </c>
      <c r="F6" s="16"/>
      <c r="G6" s="360">
        <f t="shared" si="0"/>
        <v>85442.82</v>
      </c>
      <c r="H6" s="367">
        <f>G6*12.5%</f>
        <v>10680.352500000001</v>
      </c>
      <c r="I6" s="296">
        <v>0.125</v>
      </c>
      <c r="J6" s="21" t="s">
        <v>289</v>
      </c>
      <c r="M6" s="17"/>
      <c r="N6" s="17"/>
      <c r="O6" s="17"/>
    </row>
    <row r="7" spans="1:15" x14ac:dyDescent="0.3">
      <c r="A7" s="216" t="s">
        <v>40</v>
      </c>
      <c r="B7" s="215" t="s">
        <v>47</v>
      </c>
      <c r="C7" s="16">
        <f>54353.17-12505.84-1756.26+32504.75</f>
        <v>72595.820000000007</v>
      </c>
      <c r="D7" s="16">
        <v>0</v>
      </c>
      <c r="E7" s="16">
        <f>55517.35+11562.88</f>
        <v>67080.23</v>
      </c>
      <c r="F7" s="16"/>
      <c r="G7" s="360">
        <f t="shared" si="0"/>
        <v>139676.04999999999</v>
      </c>
      <c r="H7" s="367">
        <f>G7*12.5%</f>
        <v>17459.506249999999</v>
      </c>
      <c r="I7" s="296">
        <v>0.125</v>
      </c>
      <c r="J7" s="21" t="s">
        <v>289</v>
      </c>
      <c r="M7" s="17"/>
      <c r="N7" s="17"/>
      <c r="O7" s="17"/>
    </row>
    <row r="8" spans="1:15" x14ac:dyDescent="0.3">
      <c r="A8" s="216" t="s">
        <v>49</v>
      </c>
      <c r="B8" s="215" t="s">
        <v>42</v>
      </c>
      <c r="C8" s="16">
        <f>126798.45-26963.53-612.25+75619.09-16088.51</f>
        <v>158753.25</v>
      </c>
      <c r="D8" s="16">
        <v>18747.8</v>
      </c>
      <c r="E8" s="16">
        <v>0</v>
      </c>
      <c r="F8" s="16"/>
      <c r="G8" s="360">
        <f t="shared" si="0"/>
        <v>177501.05</v>
      </c>
      <c r="H8" s="367">
        <f>G8*12.5%</f>
        <v>22187.631249999999</v>
      </c>
      <c r="I8" s="296">
        <v>0.125</v>
      </c>
      <c r="J8" s="21" t="s">
        <v>289</v>
      </c>
      <c r="M8" s="17"/>
      <c r="N8" s="17"/>
      <c r="O8" s="17"/>
    </row>
    <row r="9" spans="1:15" x14ac:dyDescent="0.3">
      <c r="A9" s="218" t="s">
        <v>53</v>
      </c>
      <c r="B9" s="215" t="s">
        <v>6</v>
      </c>
      <c r="C9" s="16">
        <f>345.39+17627.13+66154.05+70374.83</f>
        <v>154501.40000000002</v>
      </c>
      <c r="D9" s="16">
        <f>42687.23</f>
        <v>42687.23</v>
      </c>
      <c r="E9" s="16">
        <v>0</v>
      </c>
      <c r="F9" s="16"/>
      <c r="G9" s="360">
        <f t="shared" si="0"/>
        <v>197188.63000000003</v>
      </c>
      <c r="H9" s="367">
        <f>G9*15%</f>
        <v>29578.294500000004</v>
      </c>
      <c r="I9" s="296">
        <v>0.15</v>
      </c>
      <c r="J9" s="21" t="s">
        <v>289</v>
      </c>
      <c r="M9" s="17"/>
      <c r="N9" s="17"/>
      <c r="O9" s="17"/>
    </row>
    <row r="10" spans="1:15" x14ac:dyDescent="0.3">
      <c r="A10" s="216" t="s">
        <v>74</v>
      </c>
      <c r="B10" s="215" t="s">
        <v>75</v>
      </c>
      <c r="C10" s="16">
        <f>33555.84+9052.25+40957.53+10688.16+230.7</f>
        <v>94484.479999999996</v>
      </c>
      <c r="D10" s="16">
        <f>3130.3+14508.58</f>
        <v>17638.88</v>
      </c>
      <c r="E10" s="16"/>
      <c r="F10" s="16"/>
      <c r="G10" s="360">
        <f t="shared" si="0"/>
        <v>112123.36</v>
      </c>
      <c r="H10" s="367">
        <f>G10*20%</f>
        <v>22424.672000000002</v>
      </c>
      <c r="I10" s="296">
        <v>0.2</v>
      </c>
      <c r="J10" s="21" t="s">
        <v>289</v>
      </c>
      <c r="M10" s="17"/>
      <c r="N10" s="17"/>
      <c r="O10" s="17"/>
    </row>
    <row r="11" spans="1:15" x14ac:dyDescent="0.3">
      <c r="A11" s="216" t="s">
        <v>77</v>
      </c>
      <c r="B11" s="215" t="s">
        <v>76</v>
      </c>
      <c r="C11" s="16">
        <f>23510.63+18052.74</f>
        <v>41563.370000000003</v>
      </c>
      <c r="D11" s="16">
        <v>0</v>
      </c>
      <c r="E11" s="16">
        <f>14611.14+5980.08</f>
        <v>20591.22</v>
      </c>
      <c r="F11" s="16"/>
      <c r="G11" s="360">
        <f t="shared" si="0"/>
        <v>62154.590000000004</v>
      </c>
      <c r="H11" s="367">
        <f>G11*20%</f>
        <v>12430.918000000001</v>
      </c>
      <c r="I11" s="296">
        <v>0.2</v>
      </c>
      <c r="J11" s="21" t="s">
        <v>289</v>
      </c>
      <c r="M11" s="17"/>
      <c r="N11" s="17"/>
      <c r="O11" s="17"/>
    </row>
    <row r="12" spans="1:15" x14ac:dyDescent="0.3">
      <c r="A12" s="216" t="s">
        <v>287</v>
      </c>
      <c r="B12" s="215" t="s">
        <v>60</v>
      </c>
      <c r="C12" s="286">
        <v>0</v>
      </c>
      <c r="D12" s="286">
        <v>0</v>
      </c>
      <c r="E12" s="286">
        <v>0</v>
      </c>
      <c r="F12" s="286">
        <v>0</v>
      </c>
      <c r="G12" s="360">
        <f t="shared" si="0"/>
        <v>0</v>
      </c>
      <c r="H12" s="367">
        <f>G12*20%</f>
        <v>0</v>
      </c>
      <c r="I12" s="296">
        <v>0.2</v>
      </c>
      <c r="J12" s="21" t="s">
        <v>289</v>
      </c>
      <c r="M12" s="17"/>
      <c r="N12" s="17"/>
      <c r="O12" s="17"/>
    </row>
    <row r="13" spans="1:15" x14ac:dyDescent="0.3">
      <c r="A13" s="216" t="s">
        <v>79</v>
      </c>
      <c r="B13" s="215" t="s">
        <v>84</v>
      </c>
      <c r="C13" s="285">
        <v>0</v>
      </c>
      <c r="D13" s="285">
        <f>1781.76+8212.75</f>
        <v>9994.51</v>
      </c>
      <c r="E13" s="285"/>
      <c r="F13" s="285"/>
      <c r="G13" s="360">
        <f t="shared" si="0"/>
        <v>9994.51</v>
      </c>
      <c r="H13" s="368">
        <f>G13*20%</f>
        <v>1998.902</v>
      </c>
      <c r="I13" s="297">
        <v>0.2</v>
      </c>
      <c r="J13" s="21" t="s">
        <v>289</v>
      </c>
      <c r="M13" s="17"/>
      <c r="N13" s="17"/>
      <c r="O13" s="17"/>
    </row>
    <row r="14" spans="1:15" x14ac:dyDescent="0.3">
      <c r="A14" s="216" t="s">
        <v>80</v>
      </c>
      <c r="B14" s="215" t="s">
        <v>85</v>
      </c>
      <c r="C14" s="285">
        <v>0</v>
      </c>
      <c r="D14" s="285"/>
      <c r="E14" s="285">
        <f>57891.61+21560.98</f>
        <v>79452.59</v>
      </c>
      <c r="F14" s="285"/>
      <c r="G14" s="360">
        <f>C14+D14+E14</f>
        <v>79452.59</v>
      </c>
      <c r="H14" s="369">
        <f>G14*15%</f>
        <v>11917.888499999999</v>
      </c>
      <c r="I14" s="297">
        <v>0.15</v>
      </c>
      <c r="J14" s="21" t="s">
        <v>289</v>
      </c>
      <c r="M14" s="17"/>
      <c r="N14" s="17"/>
      <c r="O14" s="17"/>
    </row>
    <row r="15" spans="1:15" x14ac:dyDescent="0.3">
      <c r="A15" s="216" t="s">
        <v>82</v>
      </c>
      <c r="B15" s="215" t="s">
        <v>86</v>
      </c>
      <c r="C15" s="285">
        <f>27417.66+33265.63</f>
        <v>60683.289999999994</v>
      </c>
      <c r="D15" s="285">
        <v>0</v>
      </c>
      <c r="E15" s="285">
        <v>0</v>
      </c>
      <c r="F15" s="285"/>
      <c r="G15" s="360">
        <f>SUM(C15:E15)</f>
        <v>60683.289999999994</v>
      </c>
      <c r="H15" s="368">
        <f>G15*20%</f>
        <v>12136.657999999999</v>
      </c>
      <c r="I15" s="297">
        <v>0.2</v>
      </c>
      <c r="J15" s="21" t="s">
        <v>289</v>
      </c>
      <c r="M15" s="17"/>
      <c r="N15" s="17"/>
      <c r="O15" s="17"/>
    </row>
    <row r="16" spans="1:15" x14ac:dyDescent="0.3">
      <c r="A16" s="216" t="s">
        <v>83</v>
      </c>
      <c r="B16" s="215" t="s">
        <v>87</v>
      </c>
      <c r="C16" s="285">
        <f>948.27+3131.81</f>
        <v>4080.08</v>
      </c>
      <c r="D16" s="285"/>
      <c r="E16" s="285"/>
      <c r="F16" s="285"/>
      <c r="G16" s="360">
        <f>SUM(C16:E16)</f>
        <v>4080.08</v>
      </c>
      <c r="H16" s="369">
        <f>G16*20%</f>
        <v>816.01600000000008</v>
      </c>
      <c r="I16" s="297">
        <v>0.2</v>
      </c>
      <c r="J16" s="21" t="s">
        <v>289</v>
      </c>
      <c r="M16" s="17">
        <f>Controle!I18-G16</f>
        <v>26019.919999999998</v>
      </c>
      <c r="N16" s="17">
        <f>Controle!J18-'fluxo caixa dez 2025'!G16</f>
        <v>128485.92</v>
      </c>
      <c r="O16" s="17"/>
    </row>
    <row r="17" spans="1:15" x14ac:dyDescent="0.3">
      <c r="A17" s="216" t="s">
        <v>122</v>
      </c>
      <c r="B17" s="215" t="s">
        <v>123</v>
      </c>
      <c r="C17" s="285">
        <f>114051.55-10926.48-43.62+32149.2-7128.61</f>
        <v>128102.04000000002</v>
      </c>
      <c r="D17" s="285">
        <f>53396.12+11592.58</f>
        <v>64988.700000000004</v>
      </c>
      <c r="E17" s="287">
        <f>56654.8+21115.73</f>
        <v>77770.53</v>
      </c>
      <c r="F17" s="287">
        <f>98020.51+36239.52+35320.31+903.22+2324.22+15.9+191.04+4415.02+353.18+1765.99+269+1059.59+31.83</f>
        <v>180909.32999999996</v>
      </c>
      <c r="G17" s="360">
        <f>SUM(C17:E17)+F17</f>
        <v>451770.6</v>
      </c>
      <c r="H17" s="369">
        <f>G17*20%</f>
        <v>90354.12</v>
      </c>
      <c r="I17" s="297">
        <v>0.2</v>
      </c>
      <c r="J17" s="21" t="s">
        <v>289</v>
      </c>
      <c r="M17" s="17">
        <f>Controle!I26-C17-D17-E17</f>
        <v>1643008.01</v>
      </c>
      <c r="N17" s="17">
        <f>Controle!J26</f>
        <v>1609135.86</v>
      </c>
      <c r="O17" s="17"/>
    </row>
    <row r="18" spans="1:15" x14ac:dyDescent="0.3">
      <c r="A18" s="62" t="s">
        <v>52</v>
      </c>
      <c r="B18" s="262" t="s">
        <v>59</v>
      </c>
      <c r="C18" s="286">
        <v>0</v>
      </c>
      <c r="D18" s="286">
        <v>0</v>
      </c>
      <c r="E18" s="286">
        <v>0</v>
      </c>
      <c r="F18" s="286">
        <v>0</v>
      </c>
      <c r="G18" s="360">
        <f t="shared" ref="G18:H40" si="1">SUM(C18:E18)+F18</f>
        <v>0</v>
      </c>
      <c r="H18" s="360">
        <f t="shared" si="1"/>
        <v>0</v>
      </c>
      <c r="I18" s="298"/>
      <c r="J18" s="21" t="s">
        <v>289</v>
      </c>
      <c r="M18" s="9"/>
    </row>
    <row r="19" spans="1:15" x14ac:dyDescent="0.3">
      <c r="A19" s="216" t="s">
        <v>136</v>
      </c>
      <c r="B19" s="215" t="s">
        <v>137</v>
      </c>
      <c r="C19" s="286">
        <v>0</v>
      </c>
      <c r="D19" s="286">
        <v>0</v>
      </c>
      <c r="E19" s="286">
        <v>0</v>
      </c>
      <c r="F19" s="286">
        <v>0</v>
      </c>
      <c r="G19" s="360">
        <f t="shared" si="1"/>
        <v>0</v>
      </c>
      <c r="H19" s="360">
        <f t="shared" si="1"/>
        <v>0</v>
      </c>
      <c r="I19" s="298"/>
      <c r="J19" s="21" t="s">
        <v>289</v>
      </c>
      <c r="M19" s="9"/>
    </row>
    <row r="20" spans="1:15" x14ac:dyDescent="0.3">
      <c r="A20" s="216" t="s">
        <v>55</v>
      </c>
      <c r="B20" s="215" t="s">
        <v>62</v>
      </c>
      <c r="C20" s="286">
        <v>0</v>
      </c>
      <c r="D20" s="286">
        <v>0</v>
      </c>
      <c r="E20" s="286">
        <v>0</v>
      </c>
      <c r="F20" s="286">
        <v>0</v>
      </c>
      <c r="G20" s="360">
        <f t="shared" si="1"/>
        <v>0</v>
      </c>
      <c r="H20" s="360">
        <f t="shared" si="1"/>
        <v>0</v>
      </c>
      <c r="I20" s="298"/>
      <c r="J20" s="21" t="s">
        <v>289</v>
      </c>
      <c r="K20" s="40"/>
      <c r="L20" s="40"/>
      <c r="M20" s="9"/>
    </row>
    <row r="21" spans="1:15" x14ac:dyDescent="0.3">
      <c r="A21" s="216" t="s">
        <v>135</v>
      </c>
      <c r="B21" s="215" t="s">
        <v>138</v>
      </c>
      <c r="C21" s="286">
        <v>0</v>
      </c>
      <c r="D21" s="286">
        <v>0</v>
      </c>
      <c r="E21" s="286">
        <v>0</v>
      </c>
      <c r="F21" s="286">
        <v>0</v>
      </c>
      <c r="G21" s="360">
        <f t="shared" si="1"/>
        <v>0</v>
      </c>
      <c r="H21" s="360">
        <f t="shared" si="1"/>
        <v>0</v>
      </c>
      <c r="I21" s="298"/>
      <c r="J21" s="21" t="s">
        <v>289</v>
      </c>
      <c r="K21" s="30"/>
      <c r="M21" s="9"/>
    </row>
    <row r="22" spans="1:15" x14ac:dyDescent="0.3">
      <c r="A22" s="216" t="s">
        <v>54</v>
      </c>
      <c r="B22" s="215" t="s">
        <v>61</v>
      </c>
      <c r="C22" s="286">
        <v>0</v>
      </c>
      <c r="D22" s="286">
        <v>0</v>
      </c>
      <c r="E22" s="286">
        <v>0</v>
      </c>
      <c r="F22" s="286">
        <v>0</v>
      </c>
      <c r="G22" s="360">
        <f t="shared" si="1"/>
        <v>0</v>
      </c>
      <c r="H22" s="360">
        <f t="shared" si="1"/>
        <v>0</v>
      </c>
      <c r="I22" s="298"/>
      <c r="J22" s="21" t="s">
        <v>289</v>
      </c>
    </row>
    <row r="23" spans="1:15" x14ac:dyDescent="0.3">
      <c r="A23" s="216" t="s">
        <v>58</v>
      </c>
      <c r="B23" s="215" t="s">
        <v>65</v>
      </c>
      <c r="C23" s="286">
        <v>0</v>
      </c>
      <c r="D23" s="286">
        <v>0</v>
      </c>
      <c r="E23" s="286">
        <v>0</v>
      </c>
      <c r="F23" s="286">
        <v>0</v>
      </c>
      <c r="G23" s="360">
        <f t="shared" si="1"/>
        <v>0</v>
      </c>
      <c r="H23" s="360">
        <f t="shared" si="1"/>
        <v>0</v>
      </c>
      <c r="I23" s="298"/>
      <c r="J23" s="21" t="s">
        <v>289</v>
      </c>
      <c r="L23" s="41"/>
      <c r="M23" s="41"/>
    </row>
    <row r="24" spans="1:15" x14ac:dyDescent="0.3">
      <c r="A24" s="216" t="s">
        <v>57</v>
      </c>
      <c r="B24" s="215" t="s">
        <v>64</v>
      </c>
      <c r="C24" s="286">
        <v>0</v>
      </c>
      <c r="D24" s="286">
        <v>0</v>
      </c>
      <c r="E24" s="286">
        <v>0</v>
      </c>
      <c r="F24" s="286">
        <v>0</v>
      </c>
      <c r="G24" s="360">
        <f t="shared" si="1"/>
        <v>0</v>
      </c>
      <c r="H24" s="360">
        <f t="shared" si="1"/>
        <v>0</v>
      </c>
      <c r="I24" s="298"/>
      <c r="J24" s="21" t="s">
        <v>289</v>
      </c>
    </row>
    <row r="25" spans="1:15" x14ac:dyDescent="0.3">
      <c r="A25" s="216" t="s">
        <v>56</v>
      </c>
      <c r="B25" s="215" t="s">
        <v>63</v>
      </c>
      <c r="C25" s="286">
        <v>0</v>
      </c>
      <c r="D25" s="286">
        <v>0</v>
      </c>
      <c r="E25" s="286">
        <v>0</v>
      </c>
      <c r="F25" s="286">
        <v>0</v>
      </c>
      <c r="G25" s="360">
        <f t="shared" si="1"/>
        <v>0</v>
      </c>
      <c r="H25" s="360">
        <f t="shared" si="1"/>
        <v>0</v>
      </c>
      <c r="I25" s="298"/>
      <c r="J25" s="21" t="s">
        <v>289</v>
      </c>
    </row>
    <row r="26" spans="1:15" x14ac:dyDescent="0.3">
      <c r="A26" s="216" t="s">
        <v>152</v>
      </c>
      <c r="B26" s="215" t="s">
        <v>153</v>
      </c>
      <c r="C26" s="286">
        <v>0</v>
      </c>
      <c r="D26" s="286">
        <v>0</v>
      </c>
      <c r="E26" s="286">
        <v>0</v>
      </c>
      <c r="F26" s="286">
        <v>0</v>
      </c>
      <c r="G26" s="360">
        <f t="shared" si="1"/>
        <v>0</v>
      </c>
      <c r="H26" s="360">
        <f t="shared" si="1"/>
        <v>0</v>
      </c>
      <c r="I26" s="298"/>
      <c r="J26" s="21" t="s">
        <v>289</v>
      </c>
    </row>
    <row r="27" spans="1:15" x14ac:dyDescent="0.3">
      <c r="A27" s="216" t="s">
        <v>157</v>
      </c>
      <c r="B27" s="215" t="s">
        <v>158</v>
      </c>
      <c r="C27" s="286">
        <v>0</v>
      </c>
      <c r="D27" s="286">
        <v>0</v>
      </c>
      <c r="E27" s="286">
        <v>0</v>
      </c>
      <c r="F27" s="286">
        <v>0</v>
      </c>
      <c r="G27" s="360">
        <f t="shared" si="1"/>
        <v>0</v>
      </c>
      <c r="H27" s="360">
        <f t="shared" si="1"/>
        <v>0</v>
      </c>
      <c r="I27" s="298"/>
      <c r="J27" s="21" t="s">
        <v>289</v>
      </c>
    </row>
    <row r="28" spans="1:15" x14ac:dyDescent="0.3">
      <c r="A28" s="216" t="s">
        <v>154</v>
      </c>
      <c r="B28" s="215" t="s">
        <v>155</v>
      </c>
      <c r="C28" s="286">
        <v>0</v>
      </c>
      <c r="D28" s="286">
        <v>0</v>
      </c>
      <c r="E28" s="286">
        <v>0</v>
      </c>
      <c r="F28" s="286">
        <v>0</v>
      </c>
      <c r="G28" s="360">
        <f t="shared" si="1"/>
        <v>0</v>
      </c>
      <c r="H28" s="360">
        <f t="shared" si="1"/>
        <v>0</v>
      </c>
      <c r="I28" s="298"/>
      <c r="J28" s="21" t="s">
        <v>289</v>
      </c>
      <c r="M28" s="9"/>
    </row>
    <row r="29" spans="1:15" x14ac:dyDescent="0.3">
      <c r="A29" s="216" t="s">
        <v>236</v>
      </c>
      <c r="B29" s="215" t="s">
        <v>237</v>
      </c>
      <c r="C29" s="286">
        <v>0</v>
      </c>
      <c r="D29" s="286">
        <v>0</v>
      </c>
      <c r="E29" s="286">
        <v>0</v>
      </c>
      <c r="F29" s="286">
        <v>0</v>
      </c>
      <c r="G29" s="360">
        <f t="shared" si="1"/>
        <v>0</v>
      </c>
      <c r="H29" s="360">
        <f t="shared" si="1"/>
        <v>0</v>
      </c>
      <c r="I29" s="298"/>
      <c r="J29" s="21" t="s">
        <v>289</v>
      </c>
      <c r="M29" s="9"/>
    </row>
    <row r="30" spans="1:15" x14ac:dyDescent="0.3">
      <c r="A30" s="216" t="s">
        <v>238</v>
      </c>
      <c r="B30" s="215" t="s">
        <v>239</v>
      </c>
      <c r="C30" s="286">
        <v>0</v>
      </c>
      <c r="D30" s="286">
        <v>0</v>
      </c>
      <c r="E30" s="286">
        <v>0</v>
      </c>
      <c r="F30" s="286">
        <v>0</v>
      </c>
      <c r="G30" s="360">
        <f t="shared" si="1"/>
        <v>0</v>
      </c>
      <c r="H30" s="360">
        <f t="shared" si="1"/>
        <v>0</v>
      </c>
      <c r="I30" s="298"/>
      <c r="J30" s="21" t="s">
        <v>289</v>
      </c>
      <c r="M30" s="9"/>
    </row>
    <row r="31" spans="1:15" x14ac:dyDescent="0.3">
      <c r="A31" s="216" t="s">
        <v>248</v>
      </c>
      <c r="B31" s="215" t="s">
        <v>251</v>
      </c>
      <c r="C31" s="286">
        <v>0</v>
      </c>
      <c r="D31" s="286">
        <v>0</v>
      </c>
      <c r="E31" s="286">
        <v>0</v>
      </c>
      <c r="F31" s="286">
        <v>0</v>
      </c>
      <c r="G31" s="360">
        <f t="shared" si="1"/>
        <v>0</v>
      </c>
      <c r="H31" s="360">
        <f t="shared" si="1"/>
        <v>0</v>
      </c>
      <c r="I31" s="298"/>
      <c r="J31" s="21" t="s">
        <v>289</v>
      </c>
      <c r="M31" s="9"/>
    </row>
    <row r="32" spans="1:15" x14ac:dyDescent="0.3">
      <c r="A32" s="216" t="s">
        <v>249</v>
      </c>
      <c r="B32" s="215" t="s">
        <v>250</v>
      </c>
      <c r="C32" s="286">
        <v>0</v>
      </c>
      <c r="D32" s="286">
        <v>0</v>
      </c>
      <c r="E32" s="286">
        <v>0</v>
      </c>
      <c r="F32" s="286">
        <v>0</v>
      </c>
      <c r="G32" s="360">
        <f t="shared" si="1"/>
        <v>0</v>
      </c>
      <c r="H32" s="360">
        <f t="shared" si="1"/>
        <v>0</v>
      </c>
      <c r="I32" s="298"/>
      <c r="J32" s="21" t="s">
        <v>289</v>
      </c>
      <c r="M32" s="9"/>
    </row>
    <row r="33" spans="1:13" x14ac:dyDescent="0.3">
      <c r="A33" s="216" t="s">
        <v>253</v>
      </c>
      <c r="B33" s="219" t="s">
        <v>259</v>
      </c>
      <c r="C33" s="286">
        <v>0</v>
      </c>
      <c r="D33" s="286">
        <v>0</v>
      </c>
      <c r="E33" s="286">
        <v>0</v>
      </c>
      <c r="F33" s="286">
        <v>0</v>
      </c>
      <c r="G33" s="360">
        <f t="shared" si="1"/>
        <v>0</v>
      </c>
      <c r="H33" s="360">
        <f t="shared" si="1"/>
        <v>0</v>
      </c>
      <c r="I33" s="298"/>
      <c r="J33" s="21" t="s">
        <v>289</v>
      </c>
      <c r="M33" s="9"/>
    </row>
    <row r="34" spans="1:13" x14ac:dyDescent="0.3">
      <c r="A34" s="216" t="s">
        <v>255</v>
      </c>
      <c r="B34" s="219" t="s">
        <v>263</v>
      </c>
      <c r="C34" s="286">
        <v>0</v>
      </c>
      <c r="D34" s="286">
        <v>0</v>
      </c>
      <c r="E34" s="286">
        <v>0</v>
      </c>
      <c r="F34" s="286">
        <v>0</v>
      </c>
      <c r="G34" s="360">
        <f t="shared" si="1"/>
        <v>0</v>
      </c>
      <c r="H34" s="360">
        <f t="shared" si="1"/>
        <v>0</v>
      </c>
      <c r="I34" s="298"/>
      <c r="J34" s="21" t="s">
        <v>289</v>
      </c>
      <c r="M34" s="9"/>
    </row>
    <row r="35" spans="1:13" x14ac:dyDescent="0.3">
      <c r="A35" s="271" t="s">
        <v>272</v>
      </c>
      <c r="B35" s="219" t="s">
        <v>274</v>
      </c>
      <c r="C35" s="286">
        <v>0</v>
      </c>
      <c r="D35" s="286">
        <v>0</v>
      </c>
      <c r="E35" s="286">
        <v>0</v>
      </c>
      <c r="F35" s="286">
        <v>0</v>
      </c>
      <c r="G35" s="360">
        <f t="shared" si="1"/>
        <v>0</v>
      </c>
      <c r="H35" s="360">
        <f t="shared" si="1"/>
        <v>0</v>
      </c>
      <c r="I35" s="298"/>
      <c r="J35" s="21" t="s">
        <v>289</v>
      </c>
      <c r="M35" s="9"/>
    </row>
    <row r="36" spans="1:13" x14ac:dyDescent="0.3">
      <c r="A36" s="220" t="s">
        <v>260</v>
      </c>
      <c r="B36" s="219" t="s">
        <v>261</v>
      </c>
      <c r="C36" s="286">
        <v>0</v>
      </c>
      <c r="D36" s="286">
        <v>0</v>
      </c>
      <c r="E36" s="286">
        <v>0</v>
      </c>
      <c r="F36" s="286">
        <v>0</v>
      </c>
      <c r="G36" s="360">
        <f t="shared" si="1"/>
        <v>0</v>
      </c>
      <c r="H36" s="360">
        <f t="shared" si="1"/>
        <v>0</v>
      </c>
      <c r="I36" s="298"/>
      <c r="J36" s="21" t="s">
        <v>289</v>
      </c>
      <c r="M36" s="9"/>
    </row>
    <row r="37" spans="1:13" x14ac:dyDescent="0.3">
      <c r="A37" s="221" t="s">
        <v>273</v>
      </c>
      <c r="B37" s="213" t="s">
        <v>277</v>
      </c>
      <c r="C37" s="286">
        <v>0</v>
      </c>
      <c r="D37" s="286">
        <v>0</v>
      </c>
      <c r="E37" s="286">
        <v>0</v>
      </c>
      <c r="F37" s="286">
        <v>0</v>
      </c>
      <c r="G37" s="360">
        <f t="shared" si="1"/>
        <v>0</v>
      </c>
      <c r="H37" s="360">
        <f t="shared" si="1"/>
        <v>0</v>
      </c>
      <c r="I37" s="298"/>
      <c r="J37" s="21" t="s">
        <v>289</v>
      </c>
      <c r="M37" s="9"/>
    </row>
    <row r="38" spans="1:13" x14ac:dyDescent="0.3">
      <c r="A38" s="221" t="s">
        <v>283</v>
      </c>
      <c r="B38" s="213" t="s">
        <v>284</v>
      </c>
      <c r="C38" s="286">
        <v>0</v>
      </c>
      <c r="D38" s="286">
        <v>0</v>
      </c>
      <c r="E38" s="286">
        <v>0</v>
      </c>
      <c r="F38" s="286">
        <v>0</v>
      </c>
      <c r="G38" s="360">
        <f t="shared" si="1"/>
        <v>0</v>
      </c>
      <c r="H38" s="360">
        <f t="shared" si="1"/>
        <v>0</v>
      </c>
      <c r="I38" s="298"/>
      <c r="J38" s="21" t="s">
        <v>289</v>
      </c>
      <c r="M38" s="9"/>
    </row>
    <row r="39" spans="1:13" x14ac:dyDescent="0.3">
      <c r="A39" s="220" t="s">
        <v>270</v>
      </c>
      <c r="B39" s="219" t="s">
        <v>275</v>
      </c>
      <c r="C39" s="286">
        <v>0</v>
      </c>
      <c r="D39" s="286">
        <v>0</v>
      </c>
      <c r="E39" s="286">
        <v>0</v>
      </c>
      <c r="F39" s="286">
        <v>0</v>
      </c>
      <c r="G39" s="360">
        <f t="shared" si="1"/>
        <v>0</v>
      </c>
      <c r="H39" s="360">
        <f t="shared" si="1"/>
        <v>0</v>
      </c>
      <c r="I39" s="298"/>
      <c r="J39" s="21" t="s">
        <v>289</v>
      </c>
      <c r="M39" s="9"/>
    </row>
    <row r="40" spans="1:13" x14ac:dyDescent="0.3">
      <c r="A40" s="220" t="s">
        <v>271</v>
      </c>
      <c r="B40" s="219" t="s">
        <v>276</v>
      </c>
      <c r="C40" s="286">
        <v>0</v>
      </c>
      <c r="D40" s="286">
        <v>0</v>
      </c>
      <c r="E40" s="286">
        <v>0</v>
      </c>
      <c r="F40" s="286">
        <v>0</v>
      </c>
      <c r="G40" s="360">
        <f t="shared" si="1"/>
        <v>0</v>
      </c>
      <c r="H40" s="360">
        <f t="shared" si="1"/>
        <v>0</v>
      </c>
      <c r="I40" s="298"/>
      <c r="J40" s="21" t="s">
        <v>289</v>
      </c>
      <c r="M40" s="9"/>
    </row>
    <row r="41" spans="1:13" x14ac:dyDescent="0.3">
      <c r="A41" s="272" t="s">
        <v>35</v>
      </c>
      <c r="B41" s="272"/>
      <c r="C41" s="288">
        <f>SUM(C4:C40)</f>
        <v>1043566.64</v>
      </c>
      <c r="D41" s="288">
        <f t="shared" ref="D41:H41" si="2">SUM(D4:D40)</f>
        <v>360613.95</v>
      </c>
      <c r="E41" s="288">
        <f t="shared" si="2"/>
        <v>383471.74</v>
      </c>
      <c r="F41" s="288">
        <f t="shared" si="2"/>
        <v>180909.32999999996</v>
      </c>
      <c r="G41" s="370">
        <f t="shared" si="2"/>
        <v>1968561.6600000006</v>
      </c>
      <c r="H41" s="370">
        <f t="shared" si="2"/>
        <v>349683.777</v>
      </c>
      <c r="I41" s="299"/>
      <c r="J41" s="222"/>
      <c r="M41" s="9"/>
    </row>
    <row r="42" spans="1:13" x14ac:dyDescent="0.3">
      <c r="M42" s="9"/>
    </row>
    <row r="43" spans="1:13" x14ac:dyDescent="0.3">
      <c r="M43" s="9"/>
    </row>
    <row r="44" spans="1:13" x14ac:dyDescent="0.3">
      <c r="M44" s="9"/>
    </row>
    <row r="45" spans="1:13" x14ac:dyDescent="0.3">
      <c r="M45" s="9"/>
    </row>
    <row r="46" spans="1:13" x14ac:dyDescent="0.3">
      <c r="M46" s="9"/>
    </row>
    <row r="47" spans="1:13" x14ac:dyDescent="0.3">
      <c r="M47" s="9"/>
    </row>
    <row r="48" spans="1:13" x14ac:dyDescent="0.3">
      <c r="M48" s="9"/>
    </row>
    <row r="49" spans="13:13" x14ac:dyDescent="0.3">
      <c r="M49" s="9"/>
    </row>
    <row r="50" spans="13:13" x14ac:dyDescent="0.3">
      <c r="M50" s="9"/>
    </row>
    <row r="51" spans="13:13" x14ac:dyDescent="0.3">
      <c r="M51" s="9"/>
    </row>
    <row r="52" spans="13:13" x14ac:dyDescent="0.3">
      <c r="M52" s="9"/>
    </row>
    <row r="53" spans="13:13" x14ac:dyDescent="0.3">
      <c r="M53" s="9"/>
    </row>
    <row r="54" spans="13:13" x14ac:dyDescent="0.3">
      <c r="M54" s="9"/>
    </row>
    <row r="55" spans="13:13" x14ac:dyDescent="0.3">
      <c r="M55" s="9"/>
    </row>
    <row r="56" spans="13:13" x14ac:dyDescent="0.3">
      <c r="M56" s="9"/>
    </row>
    <row r="57" spans="13:13" x14ac:dyDescent="0.3">
      <c r="M57" s="9"/>
    </row>
    <row r="58" spans="13:13" x14ac:dyDescent="0.3">
      <c r="M58" s="9"/>
    </row>
    <row r="59" spans="13:13" x14ac:dyDescent="0.3">
      <c r="M59" s="9"/>
    </row>
    <row r="60" spans="13:13" x14ac:dyDescent="0.3">
      <c r="M60" s="9"/>
    </row>
    <row r="61" spans="13:13" x14ac:dyDescent="0.3">
      <c r="M61" s="9"/>
    </row>
    <row r="62" spans="13:13" x14ac:dyDescent="0.3">
      <c r="M62" s="9"/>
    </row>
    <row r="63" spans="13:13" x14ac:dyDescent="0.3">
      <c r="M63" s="9"/>
    </row>
    <row r="64" spans="13:13" x14ac:dyDescent="0.3">
      <c r="M64" s="9"/>
    </row>
    <row r="65" spans="13:13" x14ac:dyDescent="0.3">
      <c r="M65" s="9"/>
    </row>
    <row r="66" spans="13:13" x14ac:dyDescent="0.3">
      <c r="M66" s="9"/>
    </row>
    <row r="67" spans="13:13" x14ac:dyDescent="0.3">
      <c r="M67" s="9"/>
    </row>
    <row r="68" spans="13:13" x14ac:dyDescent="0.3">
      <c r="M68" s="9"/>
    </row>
    <row r="69" spans="13:13" x14ac:dyDescent="0.3">
      <c r="M69" s="9"/>
    </row>
    <row r="70" spans="13:13" x14ac:dyDescent="0.3">
      <c r="M70" s="9"/>
    </row>
    <row r="71" spans="13:13" x14ac:dyDescent="0.3">
      <c r="M71" s="9"/>
    </row>
    <row r="72" spans="13:13" x14ac:dyDescent="0.3">
      <c r="M72" s="9"/>
    </row>
    <row r="73" spans="13:13" x14ac:dyDescent="0.3">
      <c r="M73" s="9"/>
    </row>
    <row r="74" spans="13:13" x14ac:dyDescent="0.3">
      <c r="M74" s="9"/>
    </row>
    <row r="75" spans="13:13" x14ac:dyDescent="0.3">
      <c r="M75" s="9"/>
    </row>
    <row r="76" spans="13:13" x14ac:dyDescent="0.3">
      <c r="M76" s="9"/>
    </row>
    <row r="77" spans="13:13" x14ac:dyDescent="0.3">
      <c r="M77" s="9"/>
    </row>
    <row r="78" spans="13:13" x14ac:dyDescent="0.3">
      <c r="M78" s="9"/>
    </row>
    <row r="79" spans="13:13" x14ac:dyDescent="0.3">
      <c r="M79" s="9"/>
    </row>
    <row r="80" spans="13:13" x14ac:dyDescent="0.3">
      <c r="M80" s="9"/>
    </row>
    <row r="81" spans="13:13" x14ac:dyDescent="0.3">
      <c r="M81" s="9"/>
    </row>
    <row r="82" spans="13:13" x14ac:dyDescent="0.3">
      <c r="M82" s="9"/>
    </row>
    <row r="83" spans="13:13" x14ac:dyDescent="0.3">
      <c r="M83" s="9"/>
    </row>
    <row r="84" spans="13:13" x14ac:dyDescent="0.3">
      <c r="M84" s="9"/>
    </row>
    <row r="85" spans="13:13" x14ac:dyDescent="0.3">
      <c r="M85" s="9"/>
    </row>
    <row r="86" spans="13:13" x14ac:dyDescent="0.3">
      <c r="M86" s="9"/>
    </row>
    <row r="87" spans="13:13" x14ac:dyDescent="0.3">
      <c r="M87" s="9"/>
    </row>
    <row r="88" spans="13:13" x14ac:dyDescent="0.3">
      <c r="M88" s="9"/>
    </row>
    <row r="89" spans="13:13" x14ac:dyDescent="0.3">
      <c r="M89" s="9"/>
    </row>
    <row r="90" spans="13:13" x14ac:dyDescent="0.3">
      <c r="M90" s="9"/>
    </row>
    <row r="91" spans="13:13" x14ac:dyDescent="0.3">
      <c r="M91" s="9"/>
    </row>
    <row r="92" spans="13:13" x14ac:dyDescent="0.3">
      <c r="M92" s="9"/>
    </row>
    <row r="93" spans="13:13" x14ac:dyDescent="0.3">
      <c r="M93" s="9"/>
    </row>
    <row r="94" spans="13:13" x14ac:dyDescent="0.3">
      <c r="M94" s="9"/>
    </row>
    <row r="95" spans="13:13" x14ac:dyDescent="0.3">
      <c r="M95" s="9"/>
    </row>
    <row r="96" spans="13:13" x14ac:dyDescent="0.3">
      <c r="M96" s="9"/>
    </row>
    <row r="97" spans="13:13" x14ac:dyDescent="0.3">
      <c r="M97" s="9"/>
    </row>
    <row r="98" spans="13:13" x14ac:dyDescent="0.3">
      <c r="M98" s="9"/>
    </row>
    <row r="99" spans="13:13" x14ac:dyDescent="0.3">
      <c r="M99" s="9"/>
    </row>
    <row r="100" spans="13:13" x14ac:dyDescent="0.3">
      <c r="M100" s="9"/>
    </row>
    <row r="101" spans="13:13" x14ac:dyDescent="0.3">
      <c r="M101" s="9"/>
    </row>
    <row r="102" spans="13:13" x14ac:dyDescent="0.3">
      <c r="M102" s="9"/>
    </row>
    <row r="103" spans="13:13" x14ac:dyDescent="0.3">
      <c r="M103" s="9"/>
    </row>
    <row r="104" spans="13:13" x14ac:dyDescent="0.3">
      <c r="M104" s="9"/>
    </row>
    <row r="105" spans="13:13" x14ac:dyDescent="0.3">
      <c r="M105" s="9"/>
    </row>
    <row r="106" spans="13:13" x14ac:dyDescent="0.3">
      <c r="M106" s="9"/>
    </row>
    <row r="107" spans="13:13" x14ac:dyDescent="0.3">
      <c r="M107" s="9"/>
    </row>
    <row r="108" spans="13:13" x14ac:dyDescent="0.3">
      <c r="M108" s="9"/>
    </row>
    <row r="109" spans="13:13" x14ac:dyDescent="0.3">
      <c r="M109" s="9"/>
    </row>
    <row r="110" spans="13:13" x14ac:dyDescent="0.3">
      <c r="M110" s="9"/>
    </row>
    <row r="111" spans="13:13" x14ac:dyDescent="0.3">
      <c r="M111" s="9"/>
    </row>
    <row r="112" spans="13:13" x14ac:dyDescent="0.3">
      <c r="M112" s="9"/>
    </row>
    <row r="113" spans="13:13" x14ac:dyDescent="0.3">
      <c r="M113" s="9"/>
    </row>
    <row r="114" spans="13:13" x14ac:dyDescent="0.3">
      <c r="M114" s="9"/>
    </row>
    <row r="115" spans="13:13" x14ac:dyDescent="0.3">
      <c r="M115" s="9"/>
    </row>
    <row r="116" spans="13:13" x14ac:dyDescent="0.3">
      <c r="M116" s="9"/>
    </row>
    <row r="117" spans="13:13" x14ac:dyDescent="0.3">
      <c r="M117" s="9"/>
    </row>
    <row r="118" spans="13:13" x14ac:dyDescent="0.3">
      <c r="M118" s="9"/>
    </row>
    <row r="119" spans="13:13" x14ac:dyDescent="0.3">
      <c r="M119" s="9"/>
    </row>
    <row r="120" spans="13:13" x14ac:dyDescent="0.3">
      <c r="M120" s="9"/>
    </row>
    <row r="121" spans="13:13" x14ac:dyDescent="0.3">
      <c r="M121" s="9"/>
    </row>
    <row r="122" spans="13:13" x14ac:dyDescent="0.3">
      <c r="M122" s="9"/>
    </row>
    <row r="123" spans="13:13" x14ac:dyDescent="0.3">
      <c r="M123" s="9"/>
    </row>
    <row r="124" spans="13:13" x14ac:dyDescent="0.3">
      <c r="M124" s="9"/>
    </row>
    <row r="125" spans="13:13" x14ac:dyDescent="0.3">
      <c r="M125" s="9"/>
    </row>
    <row r="126" spans="13:13" x14ac:dyDescent="0.3">
      <c r="M126" s="9"/>
    </row>
    <row r="127" spans="13:13" x14ac:dyDescent="0.3">
      <c r="M127" s="9"/>
    </row>
    <row r="128" spans="13:13" x14ac:dyDescent="0.3">
      <c r="M128" s="9"/>
    </row>
    <row r="129" spans="13:13" x14ac:dyDescent="0.3">
      <c r="M129" s="9"/>
    </row>
    <row r="130" spans="13:13" x14ac:dyDescent="0.3">
      <c r="M130" s="9"/>
    </row>
    <row r="131" spans="13:13" x14ac:dyDescent="0.3">
      <c r="M131" s="9"/>
    </row>
    <row r="132" spans="13:13" x14ac:dyDescent="0.3">
      <c r="M132" s="9"/>
    </row>
    <row r="133" spans="13:13" x14ac:dyDescent="0.3">
      <c r="M133" s="9"/>
    </row>
    <row r="134" spans="13:13" x14ac:dyDescent="0.3">
      <c r="M134" s="9"/>
    </row>
    <row r="135" spans="13:13" x14ac:dyDescent="0.3">
      <c r="M135" s="9"/>
    </row>
    <row r="136" spans="13:13" x14ac:dyDescent="0.3">
      <c r="M136" s="9"/>
    </row>
    <row r="137" spans="13:13" x14ac:dyDescent="0.3">
      <c r="M137" s="9"/>
    </row>
    <row r="138" spans="13:13" x14ac:dyDescent="0.3">
      <c r="M138" s="9"/>
    </row>
    <row r="139" spans="13:13" x14ac:dyDescent="0.3">
      <c r="M139" s="9"/>
    </row>
    <row r="140" spans="13:13" x14ac:dyDescent="0.3">
      <c r="M140" s="9"/>
    </row>
    <row r="141" spans="13:13" x14ac:dyDescent="0.3">
      <c r="M141" s="9"/>
    </row>
    <row r="142" spans="13:13" x14ac:dyDescent="0.3">
      <c r="M142" s="9"/>
    </row>
    <row r="143" spans="13:13" x14ac:dyDescent="0.3">
      <c r="M143" s="9"/>
    </row>
    <row r="144" spans="13:13" x14ac:dyDescent="0.3">
      <c r="M144" s="9"/>
    </row>
    <row r="145" spans="13:13" x14ac:dyDescent="0.3">
      <c r="M145" s="9"/>
    </row>
    <row r="146" spans="13:13" x14ac:dyDescent="0.3">
      <c r="M146" s="9"/>
    </row>
    <row r="147" spans="13:13" x14ac:dyDescent="0.3">
      <c r="M147" s="9"/>
    </row>
    <row r="148" spans="13:13" x14ac:dyDescent="0.3">
      <c r="M148" s="9"/>
    </row>
    <row r="149" spans="13:13" x14ac:dyDescent="0.3">
      <c r="M149" s="9"/>
    </row>
    <row r="150" spans="13:13" x14ac:dyDescent="0.3">
      <c r="M150" s="9"/>
    </row>
    <row r="151" spans="13:13" x14ac:dyDescent="0.3">
      <c r="M151" s="9"/>
    </row>
    <row r="152" spans="13:13" x14ac:dyDescent="0.3">
      <c r="M152" s="9"/>
    </row>
    <row r="153" spans="13:13" x14ac:dyDescent="0.3">
      <c r="M153" s="9"/>
    </row>
    <row r="154" spans="13:13" x14ac:dyDescent="0.3">
      <c r="M154" s="9"/>
    </row>
    <row r="155" spans="13:13" x14ac:dyDescent="0.3">
      <c r="M155" s="9"/>
    </row>
    <row r="156" spans="13:13" x14ac:dyDescent="0.3">
      <c r="M156" s="9"/>
    </row>
    <row r="157" spans="13:13" x14ac:dyDescent="0.3">
      <c r="M157" s="9"/>
    </row>
    <row r="158" spans="13:13" x14ac:dyDescent="0.3">
      <c r="M158" s="9"/>
    </row>
    <row r="159" spans="13:13" x14ac:dyDescent="0.3">
      <c r="M159" s="9"/>
    </row>
    <row r="160" spans="13:13" x14ac:dyDescent="0.3">
      <c r="M160" s="9"/>
    </row>
    <row r="161" spans="13:13" x14ac:dyDescent="0.3">
      <c r="M161" s="9"/>
    </row>
    <row r="162" spans="13:13" x14ac:dyDescent="0.3">
      <c r="M162" s="9"/>
    </row>
    <row r="163" spans="13:13" x14ac:dyDescent="0.3">
      <c r="M163" s="9"/>
    </row>
    <row r="164" spans="13:13" x14ac:dyDescent="0.3">
      <c r="M164" s="9"/>
    </row>
    <row r="165" spans="13:13" x14ac:dyDescent="0.3">
      <c r="M165" s="9"/>
    </row>
    <row r="166" spans="13:13" x14ac:dyDescent="0.3">
      <c r="M166" s="9"/>
    </row>
    <row r="167" spans="13:13" x14ac:dyDescent="0.3">
      <c r="M167" s="9"/>
    </row>
    <row r="168" spans="13:13" x14ac:dyDescent="0.3">
      <c r="M168" s="9"/>
    </row>
    <row r="169" spans="13:13" x14ac:dyDescent="0.3">
      <c r="M169" s="9"/>
    </row>
    <row r="170" spans="13:13" x14ac:dyDescent="0.3">
      <c r="M170" s="9"/>
    </row>
    <row r="171" spans="13:13" x14ac:dyDescent="0.3">
      <c r="M171" s="9"/>
    </row>
    <row r="172" spans="13:13" x14ac:dyDescent="0.3">
      <c r="M172" s="9"/>
    </row>
    <row r="173" spans="13:13" x14ac:dyDescent="0.3">
      <c r="M173" s="9"/>
    </row>
    <row r="174" spans="13:13" x14ac:dyDescent="0.3">
      <c r="M174" s="9"/>
    </row>
    <row r="175" spans="13:13" x14ac:dyDescent="0.3">
      <c r="M175" s="9"/>
    </row>
    <row r="176" spans="13:13" x14ac:dyDescent="0.3">
      <c r="M176" s="9"/>
    </row>
    <row r="177" spans="13:13" x14ac:dyDescent="0.3">
      <c r="M177" s="9"/>
    </row>
    <row r="178" spans="13:13" x14ac:dyDescent="0.3">
      <c r="M178" s="9"/>
    </row>
    <row r="179" spans="13:13" x14ac:dyDescent="0.3">
      <c r="M179" s="9"/>
    </row>
    <row r="180" spans="13:13" x14ac:dyDescent="0.3">
      <c r="M180" s="9"/>
    </row>
    <row r="181" spans="13:13" x14ac:dyDescent="0.3">
      <c r="M181" s="9"/>
    </row>
    <row r="182" spans="13:13" x14ac:dyDescent="0.3">
      <c r="M182" s="9"/>
    </row>
    <row r="183" spans="13:13" x14ac:dyDescent="0.3">
      <c r="M183" s="9"/>
    </row>
    <row r="184" spans="13:13" x14ac:dyDescent="0.3">
      <c r="M184" s="9"/>
    </row>
    <row r="185" spans="13:13" x14ac:dyDescent="0.3">
      <c r="M185" s="9"/>
    </row>
    <row r="186" spans="13:13" x14ac:dyDescent="0.3">
      <c r="M186" s="9"/>
    </row>
    <row r="187" spans="13:13" x14ac:dyDescent="0.3">
      <c r="M187" s="9"/>
    </row>
    <row r="188" spans="13:13" x14ac:dyDescent="0.3">
      <c r="M188" s="9"/>
    </row>
    <row r="189" spans="13:13" x14ac:dyDescent="0.3">
      <c r="M189" s="9"/>
    </row>
    <row r="190" spans="13:13" x14ac:dyDescent="0.3">
      <c r="M190" s="9"/>
    </row>
    <row r="191" spans="13:13" x14ac:dyDescent="0.3">
      <c r="M191" s="9"/>
    </row>
    <row r="192" spans="13:13" x14ac:dyDescent="0.3">
      <c r="M192" s="9"/>
    </row>
    <row r="193" spans="13:13" x14ac:dyDescent="0.3">
      <c r="M193" s="9"/>
    </row>
    <row r="194" spans="13:13" x14ac:dyDescent="0.3">
      <c r="M194" s="9"/>
    </row>
    <row r="195" spans="13:13" x14ac:dyDescent="0.3">
      <c r="M195" s="9"/>
    </row>
    <row r="196" spans="13:13" x14ac:dyDescent="0.3">
      <c r="M196" s="9"/>
    </row>
    <row r="197" spans="13:13" x14ac:dyDescent="0.3">
      <c r="M197" s="9"/>
    </row>
    <row r="198" spans="13:13" x14ac:dyDescent="0.3">
      <c r="M198" s="9"/>
    </row>
    <row r="199" spans="13:13" x14ac:dyDescent="0.3">
      <c r="M199" s="9"/>
    </row>
    <row r="200" spans="13:13" x14ac:dyDescent="0.3">
      <c r="M200" s="9"/>
    </row>
    <row r="201" spans="13:13" x14ac:dyDescent="0.3">
      <c r="M201" s="9"/>
    </row>
    <row r="202" spans="13:13" x14ac:dyDescent="0.3">
      <c r="M202" s="9"/>
    </row>
    <row r="203" spans="13:13" x14ac:dyDescent="0.3">
      <c r="M203" s="9"/>
    </row>
    <row r="204" spans="13:13" x14ac:dyDescent="0.3">
      <c r="M204" s="9"/>
    </row>
    <row r="205" spans="13:13" x14ac:dyDescent="0.3">
      <c r="M205" s="9"/>
    </row>
    <row r="206" spans="13:13" x14ac:dyDescent="0.3">
      <c r="M206" s="9"/>
    </row>
    <row r="207" spans="13:13" x14ac:dyDescent="0.3">
      <c r="M207" s="9"/>
    </row>
    <row r="208" spans="13:13" x14ac:dyDescent="0.3">
      <c r="M208" s="9"/>
    </row>
    <row r="209" spans="13:13" x14ac:dyDescent="0.3">
      <c r="M209" s="9"/>
    </row>
    <row r="210" spans="13:13" x14ac:dyDescent="0.3">
      <c r="M210" s="9"/>
    </row>
    <row r="211" spans="13:13" x14ac:dyDescent="0.3">
      <c r="M211" s="9"/>
    </row>
    <row r="212" spans="13:13" x14ac:dyDescent="0.3">
      <c r="M212" s="9"/>
    </row>
    <row r="213" spans="13:13" x14ac:dyDescent="0.3">
      <c r="M213" s="9"/>
    </row>
    <row r="214" spans="13:13" x14ac:dyDescent="0.3">
      <c r="M214" s="9"/>
    </row>
    <row r="215" spans="13:13" x14ac:dyDescent="0.3">
      <c r="M215" s="9"/>
    </row>
    <row r="216" spans="13:13" x14ac:dyDescent="0.3">
      <c r="M216" s="9"/>
    </row>
    <row r="217" spans="13:13" x14ac:dyDescent="0.3">
      <c r="M217" s="9"/>
    </row>
    <row r="218" spans="13:13" x14ac:dyDescent="0.3">
      <c r="M218" s="9"/>
    </row>
    <row r="219" spans="13:13" x14ac:dyDescent="0.3">
      <c r="M219" s="9"/>
    </row>
    <row r="220" spans="13:13" x14ac:dyDescent="0.3">
      <c r="M220" s="9"/>
    </row>
    <row r="221" spans="13:13" x14ac:dyDescent="0.3">
      <c r="M221" s="9"/>
    </row>
    <row r="222" spans="13:13" x14ac:dyDescent="0.3">
      <c r="M222" s="9"/>
    </row>
    <row r="223" spans="13:13" x14ac:dyDescent="0.3">
      <c r="M223" s="9"/>
    </row>
    <row r="224" spans="13:13" x14ac:dyDescent="0.3">
      <c r="M224" s="9"/>
    </row>
    <row r="225" spans="13:13" x14ac:dyDescent="0.3">
      <c r="M225" s="9"/>
    </row>
    <row r="226" spans="13:13" x14ac:dyDescent="0.3">
      <c r="M226" s="9"/>
    </row>
    <row r="227" spans="13:13" x14ac:dyDescent="0.3">
      <c r="M227" s="9"/>
    </row>
    <row r="228" spans="13:13" x14ac:dyDescent="0.3">
      <c r="M228" s="9"/>
    </row>
    <row r="229" spans="13:13" x14ac:dyDescent="0.3">
      <c r="M229" s="9"/>
    </row>
    <row r="230" spans="13:13" x14ac:dyDescent="0.3">
      <c r="M230" s="9"/>
    </row>
    <row r="231" spans="13:13" x14ac:dyDescent="0.3">
      <c r="M231" s="9"/>
    </row>
    <row r="232" spans="13:13" x14ac:dyDescent="0.3">
      <c r="M232" s="9"/>
    </row>
    <row r="233" spans="13:13" x14ac:dyDescent="0.3">
      <c r="M233" s="9"/>
    </row>
    <row r="234" spans="13:13" x14ac:dyDescent="0.3">
      <c r="M234" s="9"/>
    </row>
    <row r="235" spans="13:13" x14ac:dyDescent="0.3">
      <c r="M235" s="9"/>
    </row>
    <row r="236" spans="13:13" x14ac:dyDescent="0.3">
      <c r="M236" s="9"/>
    </row>
    <row r="237" spans="13:13" x14ac:dyDescent="0.3">
      <c r="M237" s="9"/>
    </row>
    <row r="238" spans="13:13" x14ac:dyDescent="0.3">
      <c r="M238" s="9"/>
    </row>
    <row r="239" spans="13:13" x14ac:dyDescent="0.3">
      <c r="M239" s="9"/>
    </row>
    <row r="240" spans="13:13" x14ac:dyDescent="0.3">
      <c r="M240" s="9"/>
    </row>
    <row r="241" spans="13:13" x14ac:dyDescent="0.3">
      <c r="M241" s="9"/>
    </row>
    <row r="242" spans="13:13" x14ac:dyDescent="0.3">
      <c r="M242" s="9"/>
    </row>
    <row r="243" spans="13:13" x14ac:dyDescent="0.3">
      <c r="M243" s="9"/>
    </row>
    <row r="244" spans="13:13" x14ac:dyDescent="0.3">
      <c r="M244" s="9"/>
    </row>
    <row r="245" spans="13:13" x14ac:dyDescent="0.3">
      <c r="M245" s="9"/>
    </row>
    <row r="246" spans="13:13" x14ac:dyDescent="0.3">
      <c r="M246" s="9"/>
    </row>
    <row r="247" spans="13:13" x14ac:dyDescent="0.3">
      <c r="M247" s="9"/>
    </row>
    <row r="248" spans="13:13" x14ac:dyDescent="0.3">
      <c r="M248" s="9"/>
    </row>
    <row r="249" spans="13:13" x14ac:dyDescent="0.3">
      <c r="M249" s="9"/>
    </row>
    <row r="250" spans="13:13" x14ac:dyDescent="0.3">
      <c r="M250" s="9"/>
    </row>
    <row r="251" spans="13:13" x14ac:dyDescent="0.3">
      <c r="M251" s="9"/>
    </row>
    <row r="252" spans="13:13" x14ac:dyDescent="0.3">
      <c r="M252" s="9"/>
    </row>
    <row r="253" spans="13:13" x14ac:dyDescent="0.3">
      <c r="M253" s="9"/>
    </row>
    <row r="254" spans="13:13" x14ac:dyDescent="0.3">
      <c r="M254" s="9"/>
    </row>
    <row r="255" spans="13:13" x14ac:dyDescent="0.3">
      <c r="M255" s="9"/>
    </row>
    <row r="256" spans="13:13" x14ac:dyDescent="0.3">
      <c r="M256" s="9"/>
    </row>
    <row r="257" spans="13:13" x14ac:dyDescent="0.3">
      <c r="M257" s="9"/>
    </row>
    <row r="258" spans="13:13" x14ac:dyDescent="0.3">
      <c r="M258" s="9"/>
    </row>
    <row r="259" spans="13:13" x14ac:dyDescent="0.3">
      <c r="M259" s="9"/>
    </row>
    <row r="260" spans="13:13" x14ac:dyDescent="0.3">
      <c r="M260" s="9"/>
    </row>
    <row r="261" spans="13:13" x14ac:dyDescent="0.3">
      <c r="M261" s="9"/>
    </row>
    <row r="262" spans="13:13" x14ac:dyDescent="0.3">
      <c r="M262" s="9"/>
    </row>
    <row r="263" spans="13:13" x14ac:dyDescent="0.3">
      <c r="M263" s="9"/>
    </row>
    <row r="264" spans="13:13" x14ac:dyDescent="0.3">
      <c r="M264" s="9"/>
    </row>
    <row r="265" spans="13:13" x14ac:dyDescent="0.3">
      <c r="M265" s="9"/>
    </row>
    <row r="266" spans="13:13" x14ac:dyDescent="0.3">
      <c r="M266" s="9"/>
    </row>
    <row r="267" spans="13:13" x14ac:dyDescent="0.3">
      <c r="M267" s="9"/>
    </row>
    <row r="268" spans="13:13" x14ac:dyDescent="0.3">
      <c r="M268" s="9"/>
    </row>
    <row r="269" spans="13:13" x14ac:dyDescent="0.3">
      <c r="M269" s="9"/>
    </row>
    <row r="270" spans="13:13" x14ac:dyDescent="0.3">
      <c r="M270" s="9"/>
    </row>
    <row r="271" spans="13:13" x14ac:dyDescent="0.3">
      <c r="M271" s="9"/>
    </row>
    <row r="272" spans="13:13" x14ac:dyDescent="0.3">
      <c r="M272" s="9"/>
    </row>
    <row r="273" spans="13:13" x14ac:dyDescent="0.3">
      <c r="M273" s="9"/>
    </row>
    <row r="274" spans="13:13" x14ac:dyDescent="0.3">
      <c r="M274" s="9"/>
    </row>
    <row r="275" spans="13:13" x14ac:dyDescent="0.3">
      <c r="M275" s="9"/>
    </row>
    <row r="276" spans="13:13" x14ac:dyDescent="0.3">
      <c r="M276" s="9"/>
    </row>
    <row r="277" spans="13:13" x14ac:dyDescent="0.3">
      <c r="M277" s="9"/>
    </row>
    <row r="278" spans="13:13" x14ac:dyDescent="0.3">
      <c r="M278" s="9"/>
    </row>
    <row r="279" spans="13:13" x14ac:dyDescent="0.3">
      <c r="M279" s="9"/>
    </row>
    <row r="280" spans="13:13" x14ac:dyDescent="0.3">
      <c r="M280" s="9"/>
    </row>
    <row r="281" spans="13:13" x14ac:dyDescent="0.3">
      <c r="M281" s="9"/>
    </row>
    <row r="282" spans="13:13" x14ac:dyDescent="0.3">
      <c r="M282" s="9"/>
    </row>
    <row r="283" spans="13:13" x14ac:dyDescent="0.3">
      <c r="M283" s="9"/>
    </row>
    <row r="284" spans="13:13" x14ac:dyDescent="0.3">
      <c r="M284" s="9"/>
    </row>
    <row r="285" spans="13:13" x14ac:dyDescent="0.3">
      <c r="M285" s="9"/>
    </row>
    <row r="286" spans="13:13" x14ac:dyDescent="0.3">
      <c r="M286" s="9"/>
    </row>
    <row r="287" spans="13:13" x14ac:dyDescent="0.3">
      <c r="M287" s="9"/>
    </row>
    <row r="288" spans="13:13" x14ac:dyDescent="0.3">
      <c r="M288" s="9"/>
    </row>
    <row r="289" spans="13:13" x14ac:dyDescent="0.3">
      <c r="M289" s="9"/>
    </row>
    <row r="290" spans="13:13" x14ac:dyDescent="0.3">
      <c r="M290" s="9"/>
    </row>
    <row r="291" spans="13:13" x14ac:dyDescent="0.3">
      <c r="M291" s="9"/>
    </row>
    <row r="292" spans="13:13" x14ac:dyDescent="0.3">
      <c r="M292" s="9"/>
    </row>
    <row r="293" spans="13:13" x14ac:dyDescent="0.3">
      <c r="M293" s="9"/>
    </row>
    <row r="294" spans="13:13" x14ac:dyDescent="0.3">
      <c r="M294" s="9"/>
    </row>
    <row r="295" spans="13:13" x14ac:dyDescent="0.3">
      <c r="M295" s="9"/>
    </row>
    <row r="296" spans="13:13" x14ac:dyDescent="0.3">
      <c r="M296" s="9"/>
    </row>
    <row r="297" spans="13:13" x14ac:dyDescent="0.3">
      <c r="M297" s="9"/>
    </row>
    <row r="298" spans="13:13" x14ac:dyDescent="0.3">
      <c r="M298" s="9"/>
    </row>
    <row r="299" spans="13:13" x14ac:dyDescent="0.3">
      <c r="M299" s="9"/>
    </row>
    <row r="300" spans="13:13" x14ac:dyDescent="0.3">
      <c r="M300" s="9"/>
    </row>
    <row r="301" spans="13:13" x14ac:dyDescent="0.3">
      <c r="M301" s="9"/>
    </row>
    <row r="302" spans="13:13" x14ac:dyDescent="0.3">
      <c r="M302" s="9"/>
    </row>
    <row r="303" spans="13:13" x14ac:dyDescent="0.3">
      <c r="M303" s="9"/>
    </row>
    <row r="304" spans="13:13" x14ac:dyDescent="0.3">
      <c r="M304" s="9"/>
    </row>
    <row r="305" spans="13:13" x14ac:dyDescent="0.3">
      <c r="M305" s="9"/>
    </row>
    <row r="306" spans="13:13" x14ac:dyDescent="0.3">
      <c r="M306" s="9"/>
    </row>
    <row r="307" spans="13:13" x14ac:dyDescent="0.3">
      <c r="M307" s="9"/>
    </row>
    <row r="308" spans="13:13" x14ac:dyDescent="0.3">
      <c r="M308" s="9"/>
    </row>
    <row r="309" spans="13:13" x14ac:dyDescent="0.3">
      <c r="M309" s="9"/>
    </row>
    <row r="310" spans="13:13" x14ac:dyDescent="0.3">
      <c r="M310" s="9"/>
    </row>
    <row r="311" spans="13:13" x14ac:dyDescent="0.3">
      <c r="M311" s="9"/>
    </row>
    <row r="312" spans="13:13" x14ac:dyDescent="0.3">
      <c r="M312" s="9"/>
    </row>
    <row r="313" spans="13:13" x14ac:dyDescent="0.3">
      <c r="M313" s="9"/>
    </row>
    <row r="314" spans="13:13" x14ac:dyDescent="0.3">
      <c r="M314" s="9"/>
    </row>
    <row r="315" spans="13:13" x14ac:dyDescent="0.3">
      <c r="M315" s="9"/>
    </row>
    <row r="316" spans="13:13" x14ac:dyDescent="0.3">
      <c r="M316" s="9"/>
    </row>
    <row r="317" spans="13:13" x14ac:dyDescent="0.3">
      <c r="M317" s="9"/>
    </row>
    <row r="318" spans="13:13" x14ac:dyDescent="0.3">
      <c r="M318" s="9"/>
    </row>
    <row r="319" spans="13:13" x14ac:dyDescent="0.3">
      <c r="M319" s="9"/>
    </row>
    <row r="320" spans="13:13" x14ac:dyDescent="0.3">
      <c r="M320" s="9"/>
    </row>
    <row r="321" spans="13:13" x14ac:dyDescent="0.3">
      <c r="M321" s="9"/>
    </row>
    <row r="322" spans="13:13" x14ac:dyDescent="0.3">
      <c r="M322" s="9"/>
    </row>
    <row r="323" spans="13:13" x14ac:dyDescent="0.3">
      <c r="M323" s="9"/>
    </row>
    <row r="324" spans="13:13" x14ac:dyDescent="0.3">
      <c r="M324" s="9"/>
    </row>
    <row r="325" spans="13:13" x14ac:dyDescent="0.3">
      <c r="M325" s="9"/>
    </row>
    <row r="326" spans="13:13" x14ac:dyDescent="0.3">
      <c r="M326" s="9"/>
    </row>
    <row r="327" spans="13:13" x14ac:dyDescent="0.3">
      <c r="M327" s="9"/>
    </row>
    <row r="328" spans="13:13" x14ac:dyDescent="0.3">
      <c r="M328" s="9"/>
    </row>
    <row r="329" spans="13:13" x14ac:dyDescent="0.3">
      <c r="M329" s="9"/>
    </row>
    <row r="330" spans="13:13" x14ac:dyDescent="0.3">
      <c r="M330" s="9"/>
    </row>
    <row r="331" spans="13:13" x14ac:dyDescent="0.3">
      <c r="M331" s="9"/>
    </row>
    <row r="332" spans="13:13" x14ac:dyDescent="0.3">
      <c r="M332" s="9"/>
    </row>
    <row r="333" spans="13:13" x14ac:dyDescent="0.3">
      <c r="M333" s="9"/>
    </row>
    <row r="334" spans="13:13" x14ac:dyDescent="0.3">
      <c r="M334" s="9"/>
    </row>
    <row r="335" spans="13:13" x14ac:dyDescent="0.3">
      <c r="M335" s="9"/>
    </row>
    <row r="336" spans="13:13" x14ac:dyDescent="0.3">
      <c r="M336" s="9"/>
    </row>
    <row r="337" spans="13:13" x14ac:dyDescent="0.3">
      <c r="M337" s="9"/>
    </row>
    <row r="338" spans="13:13" x14ac:dyDescent="0.3">
      <c r="M338" s="9"/>
    </row>
    <row r="339" spans="13:13" x14ac:dyDescent="0.3">
      <c r="M339" s="9"/>
    </row>
    <row r="340" spans="13:13" x14ac:dyDescent="0.3">
      <c r="M340" s="9"/>
    </row>
    <row r="341" spans="13:13" x14ac:dyDescent="0.3">
      <c r="M341" s="9"/>
    </row>
    <row r="342" spans="13:13" x14ac:dyDescent="0.3">
      <c r="M342" s="9"/>
    </row>
    <row r="343" spans="13:13" x14ac:dyDescent="0.3">
      <c r="M343" s="9"/>
    </row>
    <row r="344" spans="13:13" x14ac:dyDescent="0.3">
      <c r="M344" s="9"/>
    </row>
    <row r="345" spans="13:13" x14ac:dyDescent="0.3">
      <c r="M345" s="9"/>
    </row>
    <row r="346" spans="13:13" x14ac:dyDescent="0.3">
      <c r="M346" s="9"/>
    </row>
    <row r="347" spans="13:13" x14ac:dyDescent="0.3">
      <c r="M347" s="9"/>
    </row>
    <row r="348" spans="13:13" x14ac:dyDescent="0.3">
      <c r="M348" s="9"/>
    </row>
    <row r="349" spans="13:13" x14ac:dyDescent="0.3">
      <c r="M349" s="9"/>
    </row>
    <row r="350" spans="13:13" x14ac:dyDescent="0.3">
      <c r="M350" s="9"/>
    </row>
    <row r="351" spans="13:13" x14ac:dyDescent="0.3">
      <c r="M351" s="9"/>
    </row>
    <row r="352" spans="13:13" x14ac:dyDescent="0.3">
      <c r="M352" s="9"/>
    </row>
    <row r="353" spans="13:13" x14ac:dyDescent="0.3">
      <c r="M353" s="9"/>
    </row>
    <row r="354" spans="13:13" x14ac:dyDescent="0.3">
      <c r="M354" s="9"/>
    </row>
    <row r="355" spans="13:13" x14ac:dyDescent="0.3">
      <c r="M355" s="9"/>
    </row>
    <row r="356" spans="13:13" x14ac:dyDescent="0.3">
      <c r="M356" s="9"/>
    </row>
    <row r="357" spans="13:13" x14ac:dyDescent="0.3">
      <c r="M357" s="9"/>
    </row>
    <row r="358" spans="13:13" x14ac:dyDescent="0.3">
      <c r="M358" s="9"/>
    </row>
    <row r="359" spans="13:13" x14ac:dyDescent="0.3">
      <c r="M359" s="9"/>
    </row>
    <row r="360" spans="13:13" x14ac:dyDescent="0.3">
      <c r="M360" s="9"/>
    </row>
    <row r="361" spans="13:13" x14ac:dyDescent="0.3">
      <c r="M361" s="9"/>
    </row>
    <row r="362" spans="13:13" x14ac:dyDescent="0.3">
      <c r="M362" s="9"/>
    </row>
    <row r="363" spans="13:13" x14ac:dyDescent="0.3">
      <c r="M363" s="9"/>
    </row>
    <row r="364" spans="13:13" x14ac:dyDescent="0.3">
      <c r="M364" s="9"/>
    </row>
    <row r="365" spans="13:13" x14ac:dyDescent="0.3">
      <c r="M365" s="9"/>
    </row>
    <row r="366" spans="13:13" x14ac:dyDescent="0.3">
      <c r="M366" s="9"/>
    </row>
    <row r="367" spans="13:13" x14ac:dyDescent="0.3">
      <c r="M367" s="9"/>
    </row>
    <row r="368" spans="13:13" x14ac:dyDescent="0.3">
      <c r="M368" s="9"/>
    </row>
    <row r="369" spans="13:13" x14ac:dyDescent="0.3">
      <c r="M369" s="9"/>
    </row>
    <row r="370" spans="13:13" x14ac:dyDescent="0.3">
      <c r="M370" s="9"/>
    </row>
    <row r="371" spans="13:13" x14ac:dyDescent="0.3">
      <c r="M371" s="9"/>
    </row>
    <row r="372" spans="13:13" x14ac:dyDescent="0.3">
      <c r="M372" s="9"/>
    </row>
    <row r="373" spans="13:13" x14ac:dyDescent="0.3">
      <c r="M373" s="9"/>
    </row>
    <row r="374" spans="13:13" x14ac:dyDescent="0.3">
      <c r="M374" s="9"/>
    </row>
    <row r="375" spans="13:13" x14ac:dyDescent="0.3">
      <c r="M375" s="9"/>
    </row>
    <row r="376" spans="13:13" x14ac:dyDescent="0.3">
      <c r="M376" s="9"/>
    </row>
    <row r="377" spans="13:13" x14ac:dyDescent="0.3">
      <c r="M377" s="9"/>
    </row>
    <row r="378" spans="13:13" x14ac:dyDescent="0.3">
      <c r="M378" s="9"/>
    </row>
    <row r="379" spans="13:13" x14ac:dyDescent="0.3">
      <c r="M379" s="9"/>
    </row>
    <row r="380" spans="13:13" x14ac:dyDescent="0.3">
      <c r="M380" s="9"/>
    </row>
    <row r="381" spans="13:13" x14ac:dyDescent="0.3">
      <c r="M381" s="9"/>
    </row>
    <row r="382" spans="13:13" x14ac:dyDescent="0.3">
      <c r="M382" s="9"/>
    </row>
    <row r="383" spans="13:13" x14ac:dyDescent="0.3">
      <c r="M383" s="9"/>
    </row>
    <row r="384" spans="13:13" x14ac:dyDescent="0.3">
      <c r="M384" s="9"/>
    </row>
    <row r="385" spans="13:13" x14ac:dyDescent="0.3">
      <c r="M385" s="9"/>
    </row>
    <row r="386" spans="13:13" x14ac:dyDescent="0.3">
      <c r="M386" s="9"/>
    </row>
    <row r="387" spans="13:13" x14ac:dyDescent="0.3">
      <c r="M387" s="9"/>
    </row>
    <row r="388" spans="13:13" x14ac:dyDescent="0.3">
      <c r="M388" s="9"/>
    </row>
    <row r="389" spans="13:13" x14ac:dyDescent="0.3">
      <c r="M389" s="9"/>
    </row>
    <row r="390" spans="13:13" x14ac:dyDescent="0.3">
      <c r="M390" s="9"/>
    </row>
    <row r="391" spans="13:13" x14ac:dyDescent="0.3">
      <c r="M391" s="9"/>
    </row>
    <row r="392" spans="13:13" x14ac:dyDescent="0.3">
      <c r="M392" s="9"/>
    </row>
    <row r="393" spans="13:13" x14ac:dyDescent="0.3">
      <c r="M393" s="9"/>
    </row>
    <row r="394" spans="13:13" x14ac:dyDescent="0.3">
      <c r="M394" s="9"/>
    </row>
    <row r="395" spans="13:13" x14ac:dyDescent="0.3">
      <c r="M395" s="9"/>
    </row>
    <row r="396" spans="13:13" x14ac:dyDescent="0.3">
      <c r="M396" s="9"/>
    </row>
    <row r="397" spans="13:13" x14ac:dyDescent="0.3">
      <c r="M397" s="9"/>
    </row>
    <row r="398" spans="13:13" x14ac:dyDescent="0.3">
      <c r="M398" s="9"/>
    </row>
    <row r="399" spans="13:13" x14ac:dyDescent="0.3">
      <c r="M399" s="9"/>
    </row>
    <row r="400" spans="13:13" x14ac:dyDescent="0.3">
      <c r="M400" s="9"/>
    </row>
    <row r="401" spans="13:13" x14ac:dyDescent="0.3">
      <c r="M401" s="9"/>
    </row>
    <row r="402" spans="13:13" x14ac:dyDescent="0.3">
      <c r="M402" s="9"/>
    </row>
    <row r="403" spans="13:13" x14ac:dyDescent="0.3">
      <c r="M403" s="9"/>
    </row>
    <row r="404" spans="13:13" x14ac:dyDescent="0.3">
      <c r="M404" s="9"/>
    </row>
    <row r="405" spans="13:13" x14ac:dyDescent="0.3">
      <c r="M405" s="9"/>
    </row>
    <row r="406" spans="13:13" x14ac:dyDescent="0.3">
      <c r="M406" s="9"/>
    </row>
    <row r="407" spans="13:13" x14ac:dyDescent="0.3">
      <c r="M407" s="9"/>
    </row>
    <row r="408" spans="13:13" x14ac:dyDescent="0.3">
      <c r="M408" s="9"/>
    </row>
    <row r="409" spans="13:13" x14ac:dyDescent="0.3">
      <c r="M409" s="9"/>
    </row>
    <row r="410" spans="13:13" x14ac:dyDescent="0.3">
      <c r="M410" s="9"/>
    </row>
    <row r="411" spans="13:13" x14ac:dyDescent="0.3">
      <c r="M411" s="9"/>
    </row>
    <row r="412" spans="13:13" x14ac:dyDescent="0.3">
      <c r="M412" s="9"/>
    </row>
    <row r="413" spans="13:13" x14ac:dyDescent="0.3">
      <c r="M413" s="9"/>
    </row>
    <row r="414" spans="13:13" x14ac:dyDescent="0.3">
      <c r="M414" s="9"/>
    </row>
    <row r="415" spans="13:13" x14ac:dyDescent="0.3">
      <c r="M415" s="9"/>
    </row>
    <row r="416" spans="13:13" x14ac:dyDescent="0.3">
      <c r="M416" s="9"/>
    </row>
    <row r="417" spans="13:13" x14ac:dyDescent="0.3">
      <c r="M417" s="9"/>
    </row>
    <row r="418" spans="13:13" x14ac:dyDescent="0.3">
      <c r="M418" s="9"/>
    </row>
    <row r="419" spans="13:13" x14ac:dyDescent="0.3">
      <c r="M419" s="9"/>
    </row>
    <row r="420" spans="13:13" x14ac:dyDescent="0.3">
      <c r="M420" s="9"/>
    </row>
    <row r="421" spans="13:13" x14ac:dyDescent="0.3">
      <c r="M421" s="9"/>
    </row>
    <row r="422" spans="13:13" x14ac:dyDescent="0.3">
      <c r="M422" s="9"/>
    </row>
    <row r="423" spans="13:13" x14ac:dyDescent="0.3">
      <c r="M423" s="9"/>
    </row>
    <row r="424" spans="13:13" x14ac:dyDescent="0.3">
      <c r="M424" s="9"/>
    </row>
    <row r="425" spans="13:13" x14ac:dyDescent="0.3">
      <c r="M425" s="9"/>
    </row>
    <row r="426" spans="13:13" x14ac:dyDescent="0.3">
      <c r="M426" s="9"/>
    </row>
    <row r="427" spans="13:13" x14ac:dyDescent="0.3">
      <c r="M427" s="9"/>
    </row>
    <row r="428" spans="13:13" x14ac:dyDescent="0.3">
      <c r="M428" s="9"/>
    </row>
    <row r="429" spans="13:13" x14ac:dyDescent="0.3">
      <c r="M429" s="9"/>
    </row>
    <row r="430" spans="13:13" x14ac:dyDescent="0.3">
      <c r="M430" s="9"/>
    </row>
    <row r="431" spans="13:13" x14ac:dyDescent="0.3">
      <c r="M431" s="9"/>
    </row>
    <row r="432" spans="13:13" x14ac:dyDescent="0.3">
      <c r="M432" s="9"/>
    </row>
    <row r="433" spans="13:13" x14ac:dyDescent="0.3">
      <c r="M433" s="9"/>
    </row>
    <row r="434" spans="13:13" x14ac:dyDescent="0.3">
      <c r="M434" s="9"/>
    </row>
    <row r="435" spans="13:13" x14ac:dyDescent="0.3">
      <c r="M435" s="9"/>
    </row>
    <row r="436" spans="13:13" x14ac:dyDescent="0.3">
      <c r="M436" s="9"/>
    </row>
    <row r="437" spans="13:13" x14ac:dyDescent="0.3">
      <c r="M437" s="9"/>
    </row>
    <row r="438" spans="13:13" x14ac:dyDescent="0.3">
      <c r="M438" s="9"/>
    </row>
    <row r="439" spans="13:13" x14ac:dyDescent="0.3">
      <c r="M439" s="9"/>
    </row>
    <row r="440" spans="13:13" x14ac:dyDescent="0.3">
      <c r="M440" s="9"/>
    </row>
    <row r="441" spans="13:13" x14ac:dyDescent="0.3">
      <c r="M441" s="9"/>
    </row>
    <row r="442" spans="13:13" x14ac:dyDescent="0.3">
      <c r="M442" s="9"/>
    </row>
    <row r="443" spans="13:13" x14ac:dyDescent="0.3">
      <c r="M443" s="9"/>
    </row>
    <row r="444" spans="13:13" x14ac:dyDescent="0.3">
      <c r="M444" s="9"/>
    </row>
    <row r="445" spans="13:13" x14ac:dyDescent="0.3">
      <c r="M445" s="9"/>
    </row>
    <row r="446" spans="13:13" x14ac:dyDescent="0.3">
      <c r="M446" s="9"/>
    </row>
    <row r="447" spans="13:13" x14ac:dyDescent="0.3">
      <c r="M447" s="9"/>
    </row>
    <row r="448" spans="13:13" x14ac:dyDescent="0.3">
      <c r="M448" s="9"/>
    </row>
    <row r="449" spans="13:13" x14ac:dyDescent="0.3">
      <c r="M449" s="9"/>
    </row>
    <row r="450" spans="13:13" x14ac:dyDescent="0.3">
      <c r="M450" s="9"/>
    </row>
    <row r="451" spans="13:13" x14ac:dyDescent="0.3">
      <c r="M451" s="9"/>
    </row>
    <row r="452" spans="13:13" x14ac:dyDescent="0.3">
      <c r="M452" s="9"/>
    </row>
    <row r="453" spans="13:13" x14ac:dyDescent="0.3">
      <c r="M453" s="9"/>
    </row>
    <row r="454" spans="13:13" x14ac:dyDescent="0.3">
      <c r="M454" s="9"/>
    </row>
    <row r="455" spans="13:13" x14ac:dyDescent="0.3">
      <c r="M455" s="9"/>
    </row>
    <row r="456" spans="13:13" x14ac:dyDescent="0.3">
      <c r="M456" s="9"/>
    </row>
    <row r="457" spans="13:13" x14ac:dyDescent="0.3">
      <c r="M457" s="9"/>
    </row>
    <row r="458" spans="13:13" x14ac:dyDescent="0.3">
      <c r="M458" s="9"/>
    </row>
    <row r="459" spans="13:13" x14ac:dyDescent="0.3">
      <c r="M459" s="9"/>
    </row>
    <row r="460" spans="13:13" x14ac:dyDescent="0.3">
      <c r="M460" s="9"/>
    </row>
    <row r="461" spans="13:13" x14ac:dyDescent="0.3">
      <c r="M461" s="9"/>
    </row>
    <row r="462" spans="13:13" x14ac:dyDescent="0.3">
      <c r="M462" s="9"/>
    </row>
    <row r="463" spans="13:13" x14ac:dyDescent="0.3">
      <c r="M463" s="9"/>
    </row>
    <row r="464" spans="13:13" x14ac:dyDescent="0.3">
      <c r="M464" s="9"/>
    </row>
    <row r="465" spans="13:13" x14ac:dyDescent="0.3">
      <c r="M465" s="9"/>
    </row>
    <row r="466" spans="13:13" x14ac:dyDescent="0.3">
      <c r="M466" s="9"/>
    </row>
    <row r="467" spans="13:13" x14ac:dyDescent="0.3">
      <c r="M467" s="9"/>
    </row>
    <row r="468" spans="13:13" x14ac:dyDescent="0.3">
      <c r="M468" s="9"/>
    </row>
    <row r="469" spans="13:13" x14ac:dyDescent="0.3">
      <c r="M469" s="9"/>
    </row>
    <row r="470" spans="13:13" x14ac:dyDescent="0.3">
      <c r="M470" s="9"/>
    </row>
    <row r="471" spans="13:13" x14ac:dyDescent="0.3">
      <c r="M471" s="9"/>
    </row>
    <row r="472" spans="13:13" x14ac:dyDescent="0.3">
      <c r="M472" s="9"/>
    </row>
    <row r="473" spans="13:13" x14ac:dyDescent="0.3">
      <c r="M473" s="9"/>
    </row>
    <row r="474" spans="13:13" x14ac:dyDescent="0.3">
      <c r="M474" s="9"/>
    </row>
    <row r="475" spans="13:13" x14ac:dyDescent="0.3">
      <c r="M475" s="9"/>
    </row>
    <row r="476" spans="13:13" x14ac:dyDescent="0.3">
      <c r="M476" s="9"/>
    </row>
    <row r="477" spans="13:13" x14ac:dyDescent="0.3">
      <c r="M477" s="9"/>
    </row>
    <row r="478" spans="13:13" x14ac:dyDescent="0.3">
      <c r="M478" s="9"/>
    </row>
    <row r="479" spans="13:13" x14ac:dyDescent="0.3">
      <c r="M479" s="9"/>
    </row>
    <row r="480" spans="13:13" x14ac:dyDescent="0.3">
      <c r="M480" s="9"/>
    </row>
    <row r="481" spans="13:13" x14ac:dyDescent="0.3">
      <c r="M481" s="9"/>
    </row>
    <row r="482" spans="13:13" x14ac:dyDescent="0.3">
      <c r="M482" s="9"/>
    </row>
    <row r="483" spans="13:13" x14ac:dyDescent="0.3">
      <c r="M483" s="9"/>
    </row>
    <row r="484" spans="13:13" x14ac:dyDescent="0.3">
      <c r="M484" s="9"/>
    </row>
    <row r="485" spans="13:13" x14ac:dyDescent="0.3">
      <c r="M485" s="9"/>
    </row>
    <row r="486" spans="13:13" x14ac:dyDescent="0.3">
      <c r="M486" s="9"/>
    </row>
    <row r="487" spans="13:13" x14ac:dyDescent="0.3">
      <c r="M487" s="9"/>
    </row>
    <row r="488" spans="13:13" x14ac:dyDescent="0.3">
      <c r="M488" s="9"/>
    </row>
    <row r="489" spans="13:13" x14ac:dyDescent="0.3">
      <c r="M489" s="9"/>
    </row>
    <row r="490" spans="13:13" x14ac:dyDescent="0.3">
      <c r="M490" s="9"/>
    </row>
    <row r="491" spans="13:13" x14ac:dyDescent="0.3">
      <c r="M491" s="9"/>
    </row>
    <row r="492" spans="13:13" x14ac:dyDescent="0.3">
      <c r="M492" s="9"/>
    </row>
    <row r="493" spans="13:13" x14ac:dyDescent="0.3">
      <c r="M493" s="9"/>
    </row>
    <row r="494" spans="13:13" x14ac:dyDescent="0.3">
      <c r="M494" s="9"/>
    </row>
    <row r="495" spans="13:13" x14ac:dyDescent="0.3">
      <c r="M495" s="9"/>
    </row>
    <row r="496" spans="13:13" x14ac:dyDescent="0.3">
      <c r="M496" s="9"/>
    </row>
    <row r="497" spans="13:13" x14ac:dyDescent="0.3">
      <c r="M497" s="9"/>
    </row>
    <row r="498" spans="13:13" x14ac:dyDescent="0.3">
      <c r="M498" s="9"/>
    </row>
    <row r="499" spans="13:13" x14ac:dyDescent="0.3">
      <c r="M499" s="9"/>
    </row>
    <row r="500" spans="13:13" x14ac:dyDescent="0.3">
      <c r="M500" s="9"/>
    </row>
    <row r="501" spans="13:13" x14ac:dyDescent="0.3">
      <c r="M501" s="9"/>
    </row>
    <row r="502" spans="13:13" x14ac:dyDescent="0.3">
      <c r="M502" s="9"/>
    </row>
    <row r="503" spans="13:13" x14ac:dyDescent="0.3">
      <c r="M503" s="9"/>
    </row>
    <row r="504" spans="13:13" x14ac:dyDescent="0.3">
      <c r="M504" s="9"/>
    </row>
    <row r="505" spans="13:13" x14ac:dyDescent="0.3">
      <c r="M505" s="9"/>
    </row>
    <row r="506" spans="13:13" x14ac:dyDescent="0.3">
      <c r="M506" s="9"/>
    </row>
    <row r="507" spans="13:13" x14ac:dyDescent="0.3">
      <c r="M507" s="9"/>
    </row>
    <row r="508" spans="13:13" x14ac:dyDescent="0.3">
      <c r="M508" s="9"/>
    </row>
    <row r="509" spans="13:13" x14ac:dyDescent="0.3">
      <c r="M509" s="9"/>
    </row>
    <row r="510" spans="13:13" x14ac:dyDescent="0.3">
      <c r="M510" s="9"/>
    </row>
    <row r="511" spans="13:13" x14ac:dyDescent="0.3">
      <c r="M511" s="9"/>
    </row>
    <row r="512" spans="13:13" x14ac:dyDescent="0.3">
      <c r="M512" s="9"/>
    </row>
    <row r="513" spans="13:13" x14ac:dyDescent="0.3">
      <c r="M513" s="9"/>
    </row>
    <row r="514" spans="13:13" x14ac:dyDescent="0.3">
      <c r="M514" s="9"/>
    </row>
    <row r="515" spans="13:13" x14ac:dyDescent="0.3">
      <c r="M515" s="9"/>
    </row>
    <row r="516" spans="13:13" x14ac:dyDescent="0.3">
      <c r="M516" s="9"/>
    </row>
    <row r="517" spans="13:13" x14ac:dyDescent="0.3">
      <c r="M517" s="9"/>
    </row>
    <row r="518" spans="13:13" x14ac:dyDescent="0.3">
      <c r="M518" s="9"/>
    </row>
    <row r="519" spans="13:13" x14ac:dyDescent="0.3">
      <c r="M519" s="9"/>
    </row>
    <row r="520" spans="13:13" x14ac:dyDescent="0.3">
      <c r="M520" s="9"/>
    </row>
    <row r="521" spans="13:13" x14ac:dyDescent="0.3">
      <c r="M521" s="9"/>
    </row>
    <row r="522" spans="13:13" x14ac:dyDescent="0.3">
      <c r="M522" s="9"/>
    </row>
    <row r="523" spans="13:13" x14ac:dyDescent="0.3">
      <c r="M523" s="9"/>
    </row>
    <row r="524" spans="13:13" x14ac:dyDescent="0.3">
      <c r="M524" s="9"/>
    </row>
    <row r="525" spans="13:13" x14ac:dyDescent="0.3">
      <c r="M525" s="9"/>
    </row>
    <row r="526" spans="13:13" x14ac:dyDescent="0.3">
      <c r="M526" s="9"/>
    </row>
    <row r="527" spans="13:13" x14ac:dyDescent="0.3">
      <c r="M527" s="9"/>
    </row>
    <row r="528" spans="13:13" x14ac:dyDescent="0.3">
      <c r="M528" s="9"/>
    </row>
    <row r="529" spans="13:13" x14ac:dyDescent="0.3">
      <c r="M529" s="9"/>
    </row>
    <row r="530" spans="13:13" x14ac:dyDescent="0.3">
      <c r="M530" s="9"/>
    </row>
    <row r="531" spans="13:13" x14ac:dyDescent="0.3">
      <c r="M531" s="9"/>
    </row>
    <row r="532" spans="13:13" x14ac:dyDescent="0.3">
      <c r="M532" s="9"/>
    </row>
    <row r="533" spans="13:13" x14ac:dyDescent="0.3">
      <c r="M533" s="9"/>
    </row>
    <row r="534" spans="13:13" x14ac:dyDescent="0.3">
      <c r="M534" s="9"/>
    </row>
    <row r="535" spans="13:13" x14ac:dyDescent="0.3">
      <c r="M535" s="9"/>
    </row>
    <row r="536" spans="13:13" x14ac:dyDescent="0.3">
      <c r="M536" s="9"/>
    </row>
    <row r="537" spans="13:13" x14ac:dyDescent="0.3">
      <c r="M537" s="9"/>
    </row>
    <row r="538" spans="13:13" x14ac:dyDescent="0.3">
      <c r="M538" s="9"/>
    </row>
    <row r="539" spans="13:13" x14ac:dyDescent="0.3">
      <c r="M539" s="9"/>
    </row>
    <row r="540" spans="13:13" x14ac:dyDescent="0.3">
      <c r="M540" s="9"/>
    </row>
    <row r="541" spans="13:13" x14ac:dyDescent="0.3">
      <c r="M541" s="9"/>
    </row>
    <row r="542" spans="13:13" x14ac:dyDescent="0.3">
      <c r="M542" s="9"/>
    </row>
    <row r="543" spans="13:13" x14ac:dyDescent="0.3">
      <c r="M543" s="9"/>
    </row>
    <row r="544" spans="13:13" x14ac:dyDescent="0.3">
      <c r="M544" s="9"/>
    </row>
    <row r="545" spans="13:13" x14ac:dyDescent="0.3">
      <c r="M545" s="9"/>
    </row>
    <row r="546" spans="13:13" x14ac:dyDescent="0.3">
      <c r="M546" s="9"/>
    </row>
    <row r="547" spans="13:13" x14ac:dyDescent="0.3">
      <c r="M547" s="9"/>
    </row>
    <row r="548" spans="13:13" x14ac:dyDescent="0.3">
      <c r="M548" s="9"/>
    </row>
    <row r="549" spans="13:13" x14ac:dyDescent="0.3">
      <c r="M549" s="9"/>
    </row>
    <row r="550" spans="13:13" x14ac:dyDescent="0.3">
      <c r="M550" s="9"/>
    </row>
    <row r="551" spans="13:13" x14ac:dyDescent="0.3">
      <c r="M551" s="9"/>
    </row>
    <row r="552" spans="13:13" x14ac:dyDescent="0.3">
      <c r="M552" s="9"/>
    </row>
    <row r="553" spans="13:13" x14ac:dyDescent="0.3">
      <c r="M553" s="9"/>
    </row>
    <row r="554" spans="13:13" x14ac:dyDescent="0.3">
      <c r="M554" s="9"/>
    </row>
    <row r="555" spans="13:13" x14ac:dyDescent="0.3">
      <c r="M555" s="9"/>
    </row>
    <row r="556" spans="13:13" x14ac:dyDescent="0.3">
      <c r="M556" s="9"/>
    </row>
    <row r="557" spans="13:13" x14ac:dyDescent="0.3">
      <c r="M557" s="9"/>
    </row>
    <row r="558" spans="13:13" x14ac:dyDescent="0.3">
      <c r="M558" s="9"/>
    </row>
    <row r="559" spans="13:13" x14ac:dyDescent="0.3">
      <c r="M559" s="9"/>
    </row>
    <row r="560" spans="13:13" x14ac:dyDescent="0.3">
      <c r="M560" s="9"/>
    </row>
    <row r="561" spans="13:13" x14ac:dyDescent="0.3">
      <c r="M561" s="9"/>
    </row>
    <row r="562" spans="13:13" x14ac:dyDescent="0.3">
      <c r="M562" s="9"/>
    </row>
    <row r="563" spans="13:13" x14ac:dyDescent="0.3">
      <c r="M563" s="9"/>
    </row>
    <row r="564" spans="13:13" x14ac:dyDescent="0.3">
      <c r="M564" s="9"/>
    </row>
    <row r="565" spans="13:13" x14ac:dyDescent="0.3">
      <c r="M565" s="9"/>
    </row>
    <row r="566" spans="13:13" x14ac:dyDescent="0.3">
      <c r="M566" s="9"/>
    </row>
    <row r="567" spans="13:13" x14ac:dyDescent="0.3">
      <c r="M567" s="9"/>
    </row>
    <row r="568" spans="13:13" x14ac:dyDescent="0.3">
      <c r="M568" s="9"/>
    </row>
    <row r="569" spans="13:13" x14ac:dyDescent="0.3">
      <c r="M569" s="9"/>
    </row>
    <row r="570" spans="13:13" x14ac:dyDescent="0.3">
      <c r="M570" s="9"/>
    </row>
    <row r="571" spans="13:13" x14ac:dyDescent="0.3">
      <c r="M571" s="9"/>
    </row>
    <row r="572" spans="13:13" x14ac:dyDescent="0.3">
      <c r="M572" s="9"/>
    </row>
    <row r="573" spans="13:13" x14ac:dyDescent="0.3">
      <c r="M573" s="9"/>
    </row>
    <row r="574" spans="13:13" x14ac:dyDescent="0.3">
      <c r="M574" s="9"/>
    </row>
    <row r="575" spans="13:13" x14ac:dyDescent="0.3">
      <c r="M575" s="9"/>
    </row>
    <row r="576" spans="13:13" x14ac:dyDescent="0.3">
      <c r="M576" s="9"/>
    </row>
    <row r="577" spans="13:13" x14ac:dyDescent="0.3">
      <c r="M577" s="9"/>
    </row>
    <row r="578" spans="13:13" x14ac:dyDescent="0.3">
      <c r="M578" s="9"/>
    </row>
    <row r="579" spans="13:13" x14ac:dyDescent="0.3">
      <c r="M579" s="9"/>
    </row>
    <row r="580" spans="13:13" x14ac:dyDescent="0.3">
      <c r="M580" s="9"/>
    </row>
    <row r="581" spans="13:13" x14ac:dyDescent="0.3">
      <c r="M581" s="9"/>
    </row>
    <row r="582" spans="13:13" x14ac:dyDescent="0.3">
      <c r="M582" s="9"/>
    </row>
    <row r="583" spans="13:13" x14ac:dyDescent="0.3">
      <c r="M583" s="9"/>
    </row>
    <row r="584" spans="13:13" x14ac:dyDescent="0.3">
      <c r="M584" s="9"/>
    </row>
    <row r="585" spans="13:13" x14ac:dyDescent="0.3">
      <c r="M585" s="9"/>
    </row>
    <row r="586" spans="13:13" x14ac:dyDescent="0.3">
      <c r="M586" s="9"/>
    </row>
    <row r="587" spans="13:13" x14ac:dyDescent="0.3">
      <c r="M587" s="9"/>
    </row>
    <row r="588" spans="13:13" x14ac:dyDescent="0.3">
      <c r="M588" s="9"/>
    </row>
    <row r="589" spans="13:13" x14ac:dyDescent="0.3">
      <c r="M589" s="9"/>
    </row>
    <row r="590" spans="13:13" x14ac:dyDescent="0.3">
      <c r="M590" s="9"/>
    </row>
    <row r="591" spans="13:13" x14ac:dyDescent="0.3">
      <c r="M591" s="9"/>
    </row>
    <row r="592" spans="13:13" x14ac:dyDescent="0.3">
      <c r="M592" s="9"/>
    </row>
    <row r="593" spans="13:13" x14ac:dyDescent="0.3">
      <c r="M593" s="9"/>
    </row>
    <row r="594" spans="13:13" x14ac:dyDescent="0.3">
      <c r="M594" s="9"/>
    </row>
    <row r="595" spans="13:13" x14ac:dyDescent="0.3">
      <c r="M595" s="9"/>
    </row>
    <row r="596" spans="13:13" x14ac:dyDescent="0.3">
      <c r="M596" s="9"/>
    </row>
    <row r="597" spans="13:13" x14ac:dyDescent="0.3">
      <c r="M597" s="9"/>
    </row>
    <row r="598" spans="13:13" x14ac:dyDescent="0.3">
      <c r="M598" s="9"/>
    </row>
    <row r="599" spans="13:13" x14ac:dyDescent="0.3">
      <c r="M599" s="9"/>
    </row>
    <row r="600" spans="13:13" x14ac:dyDescent="0.3">
      <c r="M600" s="9"/>
    </row>
    <row r="601" spans="13:13" x14ac:dyDescent="0.3">
      <c r="M601" s="9"/>
    </row>
    <row r="602" spans="13:13" x14ac:dyDescent="0.3">
      <c r="M602" s="9"/>
    </row>
    <row r="603" spans="13:13" x14ac:dyDescent="0.3">
      <c r="M603" s="9"/>
    </row>
    <row r="604" spans="13:13" x14ac:dyDescent="0.3">
      <c r="M604" s="9"/>
    </row>
    <row r="605" spans="13:13" x14ac:dyDescent="0.3">
      <c r="M605" s="9"/>
    </row>
    <row r="606" spans="13:13" x14ac:dyDescent="0.3">
      <c r="M606" s="9"/>
    </row>
    <row r="607" spans="13:13" x14ac:dyDescent="0.3">
      <c r="M607" s="9"/>
    </row>
    <row r="608" spans="13:13" x14ac:dyDescent="0.3">
      <c r="M608" s="9"/>
    </row>
    <row r="609" spans="13:13" x14ac:dyDescent="0.3">
      <c r="M609" s="9"/>
    </row>
    <row r="610" spans="13:13" x14ac:dyDescent="0.3">
      <c r="M610" s="9"/>
    </row>
    <row r="611" spans="13:13" x14ac:dyDescent="0.3">
      <c r="M611" s="9"/>
    </row>
    <row r="612" spans="13:13" x14ac:dyDescent="0.3">
      <c r="M612" s="9"/>
    </row>
    <row r="613" spans="13:13" x14ac:dyDescent="0.3">
      <c r="M613" s="9"/>
    </row>
    <row r="614" spans="13:13" x14ac:dyDescent="0.3">
      <c r="M614" s="9"/>
    </row>
    <row r="615" spans="13:13" x14ac:dyDescent="0.3">
      <c r="M615" s="9"/>
    </row>
    <row r="616" spans="13:13" x14ac:dyDescent="0.3">
      <c r="M616" s="9"/>
    </row>
    <row r="617" spans="13:13" x14ac:dyDescent="0.3">
      <c r="M617" s="9"/>
    </row>
    <row r="618" spans="13:13" x14ac:dyDescent="0.3">
      <c r="M618" s="9"/>
    </row>
    <row r="619" spans="13:13" x14ac:dyDescent="0.3">
      <c r="M619" s="9"/>
    </row>
    <row r="620" spans="13:13" x14ac:dyDescent="0.3">
      <c r="M620" s="9"/>
    </row>
    <row r="621" spans="13:13" x14ac:dyDescent="0.3">
      <c r="M621" s="9"/>
    </row>
    <row r="622" spans="13:13" x14ac:dyDescent="0.3">
      <c r="M622" s="9"/>
    </row>
    <row r="623" spans="13:13" x14ac:dyDescent="0.3">
      <c r="M623" s="9"/>
    </row>
    <row r="624" spans="13:13" x14ac:dyDescent="0.3">
      <c r="M624" s="9"/>
    </row>
    <row r="625" spans="13:13" x14ac:dyDescent="0.3">
      <c r="M625" s="9"/>
    </row>
    <row r="626" spans="13:13" x14ac:dyDescent="0.3">
      <c r="M626" s="9"/>
    </row>
    <row r="627" spans="13:13" x14ac:dyDescent="0.3">
      <c r="M627" s="9"/>
    </row>
    <row r="628" spans="13:13" x14ac:dyDescent="0.3">
      <c r="M628" s="9"/>
    </row>
    <row r="629" spans="13:13" x14ac:dyDescent="0.3">
      <c r="M629" s="9"/>
    </row>
    <row r="630" spans="13:13" x14ac:dyDescent="0.3">
      <c r="M630" s="9"/>
    </row>
    <row r="631" spans="13:13" x14ac:dyDescent="0.3">
      <c r="M631" s="9"/>
    </row>
    <row r="632" spans="13:13" x14ac:dyDescent="0.3">
      <c r="M632" s="9"/>
    </row>
    <row r="633" spans="13:13" x14ac:dyDescent="0.3">
      <c r="M633" s="9"/>
    </row>
    <row r="634" spans="13:13" x14ac:dyDescent="0.3">
      <c r="M634" s="9"/>
    </row>
    <row r="635" spans="13:13" x14ac:dyDescent="0.3">
      <c r="M635" s="9"/>
    </row>
    <row r="636" spans="13:13" x14ac:dyDescent="0.3">
      <c r="M636" s="9"/>
    </row>
    <row r="637" spans="13:13" x14ac:dyDescent="0.3">
      <c r="M637" s="9"/>
    </row>
    <row r="638" spans="13:13" x14ac:dyDescent="0.3">
      <c r="M638" s="9"/>
    </row>
    <row r="639" spans="13:13" x14ac:dyDescent="0.3">
      <c r="M639" s="9"/>
    </row>
    <row r="640" spans="13:13" x14ac:dyDescent="0.3">
      <c r="M640" s="9"/>
    </row>
    <row r="641" spans="13:13" x14ac:dyDescent="0.3">
      <c r="M641" s="9"/>
    </row>
    <row r="642" spans="13:13" x14ac:dyDescent="0.3">
      <c r="M642" s="9"/>
    </row>
    <row r="643" spans="13:13" x14ac:dyDescent="0.3">
      <c r="M643" s="9"/>
    </row>
    <row r="644" spans="13:13" x14ac:dyDescent="0.3">
      <c r="M644" s="9"/>
    </row>
    <row r="645" spans="13:13" x14ac:dyDescent="0.3">
      <c r="M645" s="9"/>
    </row>
    <row r="646" spans="13:13" x14ac:dyDescent="0.3">
      <c r="M646" s="9"/>
    </row>
    <row r="647" spans="13:13" x14ac:dyDescent="0.3">
      <c r="M647" s="9"/>
    </row>
    <row r="648" spans="13:13" x14ac:dyDescent="0.3">
      <c r="M648" s="9"/>
    </row>
    <row r="649" spans="13:13" x14ac:dyDescent="0.3">
      <c r="M649" s="9"/>
    </row>
    <row r="650" spans="13:13" x14ac:dyDescent="0.3">
      <c r="M650" s="9"/>
    </row>
    <row r="651" spans="13:13" x14ac:dyDescent="0.3">
      <c r="M651" s="9"/>
    </row>
    <row r="652" spans="13:13" x14ac:dyDescent="0.3">
      <c r="M652" s="9"/>
    </row>
    <row r="653" spans="13:13" x14ac:dyDescent="0.3">
      <c r="M653" s="9"/>
    </row>
    <row r="654" spans="13:13" x14ac:dyDescent="0.3">
      <c r="M654" s="9"/>
    </row>
    <row r="655" spans="13:13" x14ac:dyDescent="0.3">
      <c r="M655" s="9"/>
    </row>
    <row r="656" spans="13:13" x14ac:dyDescent="0.3">
      <c r="M656" s="9"/>
    </row>
    <row r="657" spans="13:13" x14ac:dyDescent="0.3">
      <c r="M657" s="9"/>
    </row>
    <row r="658" spans="13:13" x14ac:dyDescent="0.3">
      <c r="M658" s="9"/>
    </row>
    <row r="659" spans="13:13" x14ac:dyDescent="0.3">
      <c r="M659" s="9"/>
    </row>
    <row r="660" spans="13:13" x14ac:dyDescent="0.3">
      <c r="M660" s="9"/>
    </row>
    <row r="661" spans="13:13" x14ac:dyDescent="0.3">
      <c r="M661" s="9"/>
    </row>
    <row r="662" spans="13:13" x14ac:dyDescent="0.3">
      <c r="M662" s="9"/>
    </row>
    <row r="663" spans="13:13" x14ac:dyDescent="0.3">
      <c r="M663" s="9"/>
    </row>
    <row r="664" spans="13:13" x14ac:dyDescent="0.3">
      <c r="M664" s="9"/>
    </row>
    <row r="665" spans="13:13" x14ac:dyDescent="0.3">
      <c r="M665" s="9"/>
    </row>
    <row r="666" spans="13:13" x14ac:dyDescent="0.3">
      <c r="M666" s="9"/>
    </row>
    <row r="667" spans="13:13" x14ac:dyDescent="0.3">
      <c r="M667" s="9"/>
    </row>
    <row r="668" spans="13:13" x14ac:dyDescent="0.3">
      <c r="M668" s="9"/>
    </row>
    <row r="669" spans="13:13" x14ac:dyDescent="0.3">
      <c r="M669" s="9"/>
    </row>
    <row r="670" spans="13:13" x14ac:dyDescent="0.3">
      <c r="M670" s="9"/>
    </row>
    <row r="671" spans="13:13" x14ac:dyDescent="0.3">
      <c r="M671" s="9"/>
    </row>
    <row r="672" spans="13:13" x14ac:dyDescent="0.3">
      <c r="M672" s="9"/>
    </row>
    <row r="673" spans="13:13" x14ac:dyDescent="0.3">
      <c r="M673" s="9"/>
    </row>
    <row r="674" spans="13:13" x14ac:dyDescent="0.3">
      <c r="M674" s="9"/>
    </row>
    <row r="675" spans="13:13" x14ac:dyDescent="0.3">
      <c r="M675" s="9"/>
    </row>
    <row r="676" spans="13:13" x14ac:dyDescent="0.3">
      <c r="M676" s="9"/>
    </row>
    <row r="677" spans="13:13" x14ac:dyDescent="0.3">
      <c r="M677" s="9"/>
    </row>
    <row r="678" spans="13:13" x14ac:dyDescent="0.3">
      <c r="M678" s="9"/>
    </row>
    <row r="679" spans="13:13" x14ac:dyDescent="0.3">
      <c r="M679" s="9"/>
    </row>
    <row r="680" spans="13:13" x14ac:dyDescent="0.3">
      <c r="M680" s="9"/>
    </row>
    <row r="681" spans="13:13" x14ac:dyDescent="0.3">
      <c r="M681" s="9"/>
    </row>
    <row r="682" spans="13:13" x14ac:dyDescent="0.3">
      <c r="M682" s="9"/>
    </row>
    <row r="683" spans="13:13" x14ac:dyDescent="0.3">
      <c r="M683" s="9"/>
    </row>
    <row r="684" spans="13:13" x14ac:dyDescent="0.3">
      <c r="M684" s="9"/>
    </row>
    <row r="685" spans="13:13" x14ac:dyDescent="0.3">
      <c r="M685" s="9"/>
    </row>
    <row r="686" spans="13:13" x14ac:dyDescent="0.3">
      <c r="M686" s="9"/>
    </row>
    <row r="687" spans="13:13" x14ac:dyDescent="0.3">
      <c r="M687" s="9"/>
    </row>
    <row r="688" spans="13:13" x14ac:dyDescent="0.3">
      <c r="M688" s="9"/>
    </row>
    <row r="689" spans="13:13" x14ac:dyDescent="0.3">
      <c r="M689" s="9"/>
    </row>
    <row r="690" spans="13:13" x14ac:dyDescent="0.3">
      <c r="M690" s="9"/>
    </row>
    <row r="691" spans="13:13" x14ac:dyDescent="0.3">
      <c r="M691" s="9"/>
    </row>
    <row r="692" spans="13:13" x14ac:dyDescent="0.3">
      <c r="M692" s="9"/>
    </row>
    <row r="693" spans="13:13" x14ac:dyDescent="0.3">
      <c r="M693" s="9"/>
    </row>
    <row r="694" spans="13:13" x14ac:dyDescent="0.3">
      <c r="M694" s="9"/>
    </row>
    <row r="695" spans="13:13" x14ac:dyDescent="0.3">
      <c r="M695" s="9"/>
    </row>
    <row r="696" spans="13:13" x14ac:dyDescent="0.3">
      <c r="M696" s="9"/>
    </row>
    <row r="697" spans="13:13" x14ac:dyDescent="0.3">
      <c r="M697" s="9"/>
    </row>
    <row r="698" spans="13:13" x14ac:dyDescent="0.3">
      <c r="M698" s="9"/>
    </row>
    <row r="699" spans="13:13" x14ac:dyDescent="0.3">
      <c r="M699" s="9"/>
    </row>
    <row r="700" spans="13:13" x14ac:dyDescent="0.3">
      <c r="M700" s="9"/>
    </row>
    <row r="701" spans="13:13" x14ac:dyDescent="0.3">
      <c r="M701" s="9"/>
    </row>
    <row r="702" spans="13:13" x14ac:dyDescent="0.3">
      <c r="M702" s="9"/>
    </row>
    <row r="703" spans="13:13" x14ac:dyDescent="0.3">
      <c r="M703" s="9"/>
    </row>
    <row r="704" spans="13:13" x14ac:dyDescent="0.3">
      <c r="M704" s="9"/>
    </row>
    <row r="705" spans="13:13" x14ac:dyDescent="0.3">
      <c r="M705" s="9"/>
    </row>
    <row r="706" spans="13:13" x14ac:dyDescent="0.3">
      <c r="M706" s="9"/>
    </row>
    <row r="707" spans="13:13" x14ac:dyDescent="0.3">
      <c r="M707" s="9"/>
    </row>
    <row r="708" spans="13:13" x14ac:dyDescent="0.3">
      <c r="M708" s="9"/>
    </row>
    <row r="709" spans="13:13" x14ac:dyDescent="0.3">
      <c r="M709" s="9"/>
    </row>
    <row r="710" spans="13:13" x14ac:dyDescent="0.3">
      <c r="M710" s="9"/>
    </row>
    <row r="711" spans="13:13" x14ac:dyDescent="0.3">
      <c r="M711" s="9"/>
    </row>
    <row r="712" spans="13:13" x14ac:dyDescent="0.3">
      <c r="M712" s="9"/>
    </row>
    <row r="713" spans="13:13" x14ac:dyDescent="0.3">
      <c r="M713" s="9"/>
    </row>
    <row r="714" spans="13:13" x14ac:dyDescent="0.3">
      <c r="M714" s="9"/>
    </row>
    <row r="715" spans="13:13" x14ac:dyDescent="0.3">
      <c r="M715" s="9"/>
    </row>
    <row r="716" spans="13:13" x14ac:dyDescent="0.3">
      <c r="M716" s="9"/>
    </row>
    <row r="717" spans="13:13" x14ac:dyDescent="0.3">
      <c r="M717" s="9"/>
    </row>
    <row r="718" spans="13:13" x14ac:dyDescent="0.3">
      <c r="M718" s="9"/>
    </row>
    <row r="719" spans="13:13" x14ac:dyDescent="0.3">
      <c r="M719" s="9"/>
    </row>
    <row r="720" spans="13:13" x14ac:dyDescent="0.3">
      <c r="M720" s="9"/>
    </row>
    <row r="721" spans="13:13" x14ac:dyDescent="0.3">
      <c r="M721" s="9"/>
    </row>
    <row r="722" spans="13:13" x14ac:dyDescent="0.3">
      <c r="M722" s="9"/>
    </row>
    <row r="723" spans="13:13" x14ac:dyDescent="0.3">
      <c r="M723" s="9"/>
    </row>
    <row r="724" spans="13:13" x14ac:dyDescent="0.3">
      <c r="M724" s="9"/>
    </row>
    <row r="725" spans="13:13" x14ac:dyDescent="0.3">
      <c r="M725" s="9"/>
    </row>
    <row r="726" spans="13:13" x14ac:dyDescent="0.3">
      <c r="M726" s="9"/>
    </row>
    <row r="727" spans="13:13" x14ac:dyDescent="0.3">
      <c r="M727" s="9"/>
    </row>
    <row r="728" spans="13:13" x14ac:dyDescent="0.3">
      <c r="M728" s="9"/>
    </row>
    <row r="729" spans="13:13" x14ac:dyDescent="0.3">
      <c r="M729" s="9"/>
    </row>
    <row r="730" spans="13:13" x14ac:dyDescent="0.3">
      <c r="M730" s="9"/>
    </row>
    <row r="731" spans="13:13" x14ac:dyDescent="0.3">
      <c r="M731" s="9"/>
    </row>
    <row r="732" spans="13:13" x14ac:dyDescent="0.3">
      <c r="M732" s="9"/>
    </row>
    <row r="733" spans="13:13" x14ac:dyDescent="0.3">
      <c r="M733" s="9"/>
    </row>
    <row r="734" spans="13:13" x14ac:dyDescent="0.3">
      <c r="M734" s="9"/>
    </row>
    <row r="735" spans="13:13" x14ac:dyDescent="0.3">
      <c r="M735" s="9"/>
    </row>
    <row r="736" spans="13:13" x14ac:dyDescent="0.3">
      <c r="M736" s="9"/>
    </row>
    <row r="737" spans="13:13" x14ac:dyDescent="0.3">
      <c r="M737" s="9"/>
    </row>
    <row r="738" spans="13:13" x14ac:dyDescent="0.3">
      <c r="M738" s="9"/>
    </row>
    <row r="739" spans="13:13" x14ac:dyDescent="0.3">
      <c r="M739" s="9"/>
    </row>
    <row r="740" spans="13:13" x14ac:dyDescent="0.3">
      <c r="M740" s="9"/>
    </row>
    <row r="741" spans="13:13" x14ac:dyDescent="0.3">
      <c r="M741" s="9"/>
    </row>
    <row r="742" spans="13:13" x14ac:dyDescent="0.3">
      <c r="M742" s="9"/>
    </row>
    <row r="743" spans="13:13" x14ac:dyDescent="0.3">
      <c r="M743" s="9"/>
    </row>
    <row r="744" spans="13:13" x14ac:dyDescent="0.3">
      <c r="M744" s="9"/>
    </row>
    <row r="745" spans="13:13" x14ac:dyDescent="0.3">
      <c r="M745" s="9"/>
    </row>
    <row r="746" spans="13:13" x14ac:dyDescent="0.3">
      <c r="M746" s="9"/>
    </row>
    <row r="747" spans="13:13" x14ac:dyDescent="0.3">
      <c r="M747" s="9"/>
    </row>
    <row r="748" spans="13:13" x14ac:dyDescent="0.3">
      <c r="M748" s="9"/>
    </row>
    <row r="749" spans="13:13" x14ac:dyDescent="0.3">
      <c r="M749" s="9"/>
    </row>
    <row r="750" spans="13:13" x14ac:dyDescent="0.3">
      <c r="M750" s="9"/>
    </row>
    <row r="751" spans="13:13" x14ac:dyDescent="0.3">
      <c r="M751" s="9"/>
    </row>
    <row r="752" spans="13:13" x14ac:dyDescent="0.3">
      <c r="M752" s="9"/>
    </row>
    <row r="753" spans="13:13" x14ac:dyDescent="0.3">
      <c r="M753" s="9"/>
    </row>
    <row r="754" spans="13:13" x14ac:dyDescent="0.3">
      <c r="M754" s="9"/>
    </row>
    <row r="755" spans="13:13" x14ac:dyDescent="0.3">
      <c r="M755" s="9"/>
    </row>
    <row r="756" spans="13:13" x14ac:dyDescent="0.3">
      <c r="M756" s="9"/>
    </row>
    <row r="757" spans="13:13" x14ac:dyDescent="0.3">
      <c r="M757" s="9"/>
    </row>
    <row r="758" spans="13:13" x14ac:dyDescent="0.3">
      <c r="M758" s="9"/>
    </row>
    <row r="759" spans="13:13" x14ac:dyDescent="0.3">
      <c r="M759" s="9"/>
    </row>
    <row r="760" spans="13:13" x14ac:dyDescent="0.3">
      <c r="M760" s="9"/>
    </row>
    <row r="761" spans="13:13" x14ac:dyDescent="0.3">
      <c r="M761" s="9"/>
    </row>
    <row r="762" spans="13:13" x14ac:dyDescent="0.3">
      <c r="M762" s="9"/>
    </row>
    <row r="763" spans="13:13" x14ac:dyDescent="0.3">
      <c r="M763" s="9"/>
    </row>
    <row r="764" spans="13:13" x14ac:dyDescent="0.3">
      <c r="M764" s="9"/>
    </row>
    <row r="765" spans="13:13" x14ac:dyDescent="0.3">
      <c r="M765" s="9"/>
    </row>
    <row r="766" spans="13:13" x14ac:dyDescent="0.3">
      <c r="M766" s="9"/>
    </row>
    <row r="767" spans="13:13" x14ac:dyDescent="0.3">
      <c r="M767" s="9"/>
    </row>
    <row r="768" spans="13:13" x14ac:dyDescent="0.3">
      <c r="M768" s="9"/>
    </row>
    <row r="769" spans="13:13" x14ac:dyDescent="0.3">
      <c r="M769" s="9"/>
    </row>
    <row r="770" spans="13:13" x14ac:dyDescent="0.3">
      <c r="M770" s="9"/>
    </row>
    <row r="771" spans="13:13" x14ac:dyDescent="0.3">
      <c r="M771" s="9"/>
    </row>
    <row r="772" spans="13:13" x14ac:dyDescent="0.3">
      <c r="M772" s="9"/>
    </row>
    <row r="773" spans="13:13" x14ac:dyDescent="0.3">
      <c r="M773" s="9"/>
    </row>
    <row r="774" spans="13:13" x14ac:dyDescent="0.3">
      <c r="M774" s="9"/>
    </row>
    <row r="775" spans="13:13" x14ac:dyDescent="0.3">
      <c r="M775" s="9"/>
    </row>
    <row r="776" spans="13:13" x14ac:dyDescent="0.3">
      <c r="M776" s="9"/>
    </row>
    <row r="777" spans="13:13" x14ac:dyDescent="0.3">
      <c r="M777" s="9"/>
    </row>
    <row r="778" spans="13:13" x14ac:dyDescent="0.3">
      <c r="M778" s="9"/>
    </row>
    <row r="779" spans="13:13" x14ac:dyDescent="0.3">
      <c r="M779" s="9"/>
    </row>
    <row r="780" spans="13:13" x14ac:dyDescent="0.3">
      <c r="M780" s="9"/>
    </row>
    <row r="781" spans="13:13" x14ac:dyDescent="0.3">
      <c r="M781" s="9"/>
    </row>
    <row r="782" spans="13:13" x14ac:dyDescent="0.3">
      <c r="M782" s="9"/>
    </row>
    <row r="783" spans="13:13" x14ac:dyDescent="0.3">
      <c r="M783" s="9"/>
    </row>
    <row r="784" spans="13:13" x14ac:dyDescent="0.3">
      <c r="M784" s="9"/>
    </row>
    <row r="785" spans="13:13" x14ac:dyDescent="0.3">
      <c r="M785" s="9"/>
    </row>
    <row r="786" spans="13:13" x14ac:dyDescent="0.3">
      <c r="M786" s="9"/>
    </row>
    <row r="787" spans="13:13" x14ac:dyDescent="0.3">
      <c r="M787" s="9"/>
    </row>
    <row r="788" spans="13:13" x14ac:dyDescent="0.3">
      <c r="M788" s="9"/>
    </row>
    <row r="789" spans="13:13" x14ac:dyDescent="0.3">
      <c r="M789" s="9"/>
    </row>
    <row r="790" spans="13:13" x14ac:dyDescent="0.3">
      <c r="M790" s="9"/>
    </row>
    <row r="791" spans="13:13" x14ac:dyDescent="0.3">
      <c r="M791" s="9"/>
    </row>
    <row r="792" spans="13:13" x14ac:dyDescent="0.3">
      <c r="M792" s="9"/>
    </row>
    <row r="793" spans="13:13" x14ac:dyDescent="0.3">
      <c r="M793" s="9"/>
    </row>
    <row r="794" spans="13:13" x14ac:dyDescent="0.3">
      <c r="M794" s="9"/>
    </row>
    <row r="795" spans="13:13" x14ac:dyDescent="0.3">
      <c r="M795" s="9"/>
    </row>
    <row r="796" spans="13:13" x14ac:dyDescent="0.3">
      <c r="M796" s="9"/>
    </row>
    <row r="797" spans="13:13" x14ac:dyDescent="0.3">
      <c r="M797" s="9"/>
    </row>
    <row r="798" spans="13:13" x14ac:dyDescent="0.3">
      <c r="M798" s="9"/>
    </row>
    <row r="799" spans="13:13" x14ac:dyDescent="0.3">
      <c r="M799" s="9"/>
    </row>
    <row r="800" spans="13:13" x14ac:dyDescent="0.3">
      <c r="M800" s="9"/>
    </row>
    <row r="801" spans="13:13" x14ac:dyDescent="0.3">
      <c r="M801" s="9"/>
    </row>
    <row r="802" spans="13:13" x14ac:dyDescent="0.3">
      <c r="M802" s="9"/>
    </row>
    <row r="803" spans="13:13" x14ac:dyDescent="0.3">
      <c r="M803" s="9"/>
    </row>
    <row r="804" spans="13:13" x14ac:dyDescent="0.3">
      <c r="M804" s="9"/>
    </row>
    <row r="805" spans="13:13" x14ac:dyDescent="0.3">
      <c r="M805" s="9"/>
    </row>
    <row r="806" spans="13:13" x14ac:dyDescent="0.3">
      <c r="M806" s="9"/>
    </row>
    <row r="807" spans="13:13" x14ac:dyDescent="0.3">
      <c r="M807" s="9"/>
    </row>
    <row r="808" spans="13:13" x14ac:dyDescent="0.3">
      <c r="M808" s="9"/>
    </row>
    <row r="809" spans="13:13" x14ac:dyDescent="0.3">
      <c r="M809" s="9"/>
    </row>
    <row r="810" spans="13:13" x14ac:dyDescent="0.3">
      <c r="M810" s="9"/>
    </row>
    <row r="811" spans="13:13" x14ac:dyDescent="0.3">
      <c r="M811" s="9"/>
    </row>
    <row r="812" spans="13:13" x14ac:dyDescent="0.3">
      <c r="M812" s="9"/>
    </row>
    <row r="813" spans="13:13" x14ac:dyDescent="0.3">
      <c r="M813" s="9"/>
    </row>
    <row r="814" spans="13:13" x14ac:dyDescent="0.3">
      <c r="M814" s="9"/>
    </row>
    <row r="815" spans="13:13" x14ac:dyDescent="0.3">
      <c r="M815" s="9"/>
    </row>
    <row r="816" spans="13:13" x14ac:dyDescent="0.3">
      <c r="M816" s="9"/>
    </row>
    <row r="817" spans="13:13" x14ac:dyDescent="0.3">
      <c r="M817" s="9"/>
    </row>
    <row r="818" spans="13:13" x14ac:dyDescent="0.3">
      <c r="M818" s="9"/>
    </row>
    <row r="819" spans="13:13" x14ac:dyDescent="0.3">
      <c r="M819" s="9"/>
    </row>
    <row r="820" spans="13:13" x14ac:dyDescent="0.3">
      <c r="M820" s="9"/>
    </row>
    <row r="821" spans="13:13" x14ac:dyDescent="0.3">
      <c r="M821" s="9"/>
    </row>
    <row r="822" spans="13:13" x14ac:dyDescent="0.3">
      <c r="M822" s="9"/>
    </row>
    <row r="823" spans="13:13" x14ac:dyDescent="0.3">
      <c r="M823" s="9"/>
    </row>
    <row r="824" spans="13:13" x14ac:dyDescent="0.3">
      <c r="M824" s="9"/>
    </row>
    <row r="825" spans="13:13" x14ac:dyDescent="0.3">
      <c r="M825" s="9"/>
    </row>
    <row r="826" spans="13:13" x14ac:dyDescent="0.3">
      <c r="M826" s="9"/>
    </row>
    <row r="827" spans="13:13" x14ac:dyDescent="0.3">
      <c r="M827" s="9"/>
    </row>
    <row r="828" spans="13:13" x14ac:dyDescent="0.3">
      <c r="M828" s="9"/>
    </row>
    <row r="829" spans="13:13" x14ac:dyDescent="0.3">
      <c r="M829" s="9"/>
    </row>
    <row r="830" spans="13:13" x14ac:dyDescent="0.3">
      <c r="M830" s="9"/>
    </row>
    <row r="831" spans="13:13" x14ac:dyDescent="0.3">
      <c r="M831" s="9"/>
    </row>
    <row r="832" spans="13:13" x14ac:dyDescent="0.3">
      <c r="M832" s="9"/>
    </row>
    <row r="833" spans="13:13" x14ac:dyDescent="0.3">
      <c r="M833" s="9"/>
    </row>
    <row r="834" spans="13:13" x14ac:dyDescent="0.3">
      <c r="M834" s="9"/>
    </row>
    <row r="835" spans="13:13" x14ac:dyDescent="0.3">
      <c r="M835" s="9"/>
    </row>
    <row r="836" spans="13:13" x14ac:dyDescent="0.3">
      <c r="M836" s="9"/>
    </row>
    <row r="837" spans="13:13" x14ac:dyDescent="0.3">
      <c r="M837" s="9"/>
    </row>
    <row r="838" spans="13:13" x14ac:dyDescent="0.3">
      <c r="M838" s="9"/>
    </row>
    <row r="839" spans="13:13" x14ac:dyDescent="0.3">
      <c r="M839" s="9"/>
    </row>
    <row r="840" spans="13:13" x14ac:dyDescent="0.3">
      <c r="M840" s="9"/>
    </row>
    <row r="841" spans="13:13" x14ac:dyDescent="0.3">
      <c r="M841" s="9"/>
    </row>
    <row r="842" spans="13:13" x14ac:dyDescent="0.3">
      <c r="M842" s="9"/>
    </row>
    <row r="843" spans="13:13" x14ac:dyDescent="0.3">
      <c r="M843" s="9"/>
    </row>
    <row r="844" spans="13:13" x14ac:dyDescent="0.3">
      <c r="M844" s="9"/>
    </row>
    <row r="845" spans="13:13" x14ac:dyDescent="0.3">
      <c r="M845" s="9"/>
    </row>
    <row r="846" spans="13:13" x14ac:dyDescent="0.3">
      <c r="M846" s="9"/>
    </row>
    <row r="847" spans="13:13" x14ac:dyDescent="0.3">
      <c r="M847" s="9"/>
    </row>
    <row r="848" spans="13:13" x14ac:dyDescent="0.3">
      <c r="M848" s="9"/>
    </row>
    <row r="849" spans="13:13" x14ac:dyDescent="0.3">
      <c r="M849" s="9"/>
    </row>
    <row r="850" spans="13:13" x14ac:dyDescent="0.3">
      <c r="M850" s="9"/>
    </row>
    <row r="851" spans="13:13" x14ac:dyDescent="0.3">
      <c r="M851" s="9"/>
    </row>
    <row r="852" spans="13:13" x14ac:dyDescent="0.3">
      <c r="M852" s="9"/>
    </row>
    <row r="853" spans="13:13" x14ac:dyDescent="0.3">
      <c r="M853" s="9"/>
    </row>
    <row r="854" spans="13:13" x14ac:dyDescent="0.3">
      <c r="M854" s="9"/>
    </row>
    <row r="855" spans="13:13" x14ac:dyDescent="0.3">
      <c r="M855" s="9"/>
    </row>
    <row r="856" spans="13:13" x14ac:dyDescent="0.3">
      <c r="M856" s="9"/>
    </row>
    <row r="857" spans="13:13" x14ac:dyDescent="0.3">
      <c r="M857" s="9"/>
    </row>
    <row r="858" spans="13:13" x14ac:dyDescent="0.3">
      <c r="M858" s="9"/>
    </row>
    <row r="859" spans="13:13" x14ac:dyDescent="0.3">
      <c r="M859" s="9"/>
    </row>
    <row r="860" spans="13:13" x14ac:dyDescent="0.3">
      <c r="M860" s="9"/>
    </row>
    <row r="861" spans="13:13" x14ac:dyDescent="0.3">
      <c r="M861" s="9"/>
    </row>
    <row r="862" spans="13:13" x14ac:dyDescent="0.3">
      <c r="M862" s="9"/>
    </row>
    <row r="863" spans="13:13" x14ac:dyDescent="0.3">
      <c r="M863" s="9"/>
    </row>
    <row r="864" spans="13:13" x14ac:dyDescent="0.3">
      <c r="M864" s="9"/>
    </row>
    <row r="865" spans="13:13" x14ac:dyDescent="0.3">
      <c r="M865" s="9"/>
    </row>
    <row r="866" spans="13:13" x14ac:dyDescent="0.3">
      <c r="M866" s="9"/>
    </row>
    <row r="867" spans="13:13" x14ac:dyDescent="0.3">
      <c r="M867" s="9"/>
    </row>
    <row r="868" spans="13:13" x14ac:dyDescent="0.3">
      <c r="M868" s="9"/>
    </row>
    <row r="869" spans="13:13" x14ac:dyDescent="0.3">
      <c r="M869" s="9"/>
    </row>
    <row r="870" spans="13:13" x14ac:dyDescent="0.3">
      <c r="M870" s="9"/>
    </row>
    <row r="871" spans="13:13" x14ac:dyDescent="0.3">
      <c r="M871" s="9"/>
    </row>
    <row r="872" spans="13:13" x14ac:dyDescent="0.3">
      <c r="M872" s="9"/>
    </row>
    <row r="873" spans="13:13" x14ac:dyDescent="0.3">
      <c r="M873" s="9"/>
    </row>
    <row r="874" spans="13:13" x14ac:dyDescent="0.3">
      <c r="M874" s="9"/>
    </row>
    <row r="875" spans="13:13" x14ac:dyDescent="0.3">
      <c r="M875" s="9"/>
    </row>
    <row r="876" spans="13:13" x14ac:dyDescent="0.3">
      <c r="M876" s="9"/>
    </row>
    <row r="877" spans="13:13" x14ac:dyDescent="0.3">
      <c r="M877" s="9"/>
    </row>
    <row r="878" spans="13:13" x14ac:dyDescent="0.3">
      <c r="M878" s="9"/>
    </row>
    <row r="879" spans="13:13" x14ac:dyDescent="0.3">
      <c r="M879" s="9"/>
    </row>
    <row r="880" spans="13:13" x14ac:dyDescent="0.3">
      <c r="M880" s="9"/>
    </row>
    <row r="881" spans="13:13" x14ac:dyDescent="0.3">
      <c r="M881" s="9"/>
    </row>
    <row r="882" spans="13:13" x14ac:dyDescent="0.3">
      <c r="M882" s="9"/>
    </row>
    <row r="883" spans="13:13" x14ac:dyDescent="0.3">
      <c r="M883" s="9"/>
    </row>
    <row r="884" spans="13:13" x14ac:dyDescent="0.3">
      <c r="M884" s="9"/>
    </row>
    <row r="885" spans="13:13" x14ac:dyDescent="0.3">
      <c r="M885" s="9"/>
    </row>
    <row r="886" spans="13:13" x14ac:dyDescent="0.3">
      <c r="M886" s="9"/>
    </row>
    <row r="887" spans="13:13" x14ac:dyDescent="0.3">
      <c r="M887" s="9"/>
    </row>
    <row r="888" spans="13:13" x14ac:dyDescent="0.3">
      <c r="M888" s="9"/>
    </row>
    <row r="889" spans="13:13" x14ac:dyDescent="0.3">
      <c r="M889" s="9"/>
    </row>
    <row r="890" spans="13:13" x14ac:dyDescent="0.3">
      <c r="M890" s="9"/>
    </row>
    <row r="891" spans="13:13" x14ac:dyDescent="0.3">
      <c r="M891" s="9"/>
    </row>
    <row r="892" spans="13:13" x14ac:dyDescent="0.3">
      <c r="M892" s="9"/>
    </row>
    <row r="893" spans="13:13" x14ac:dyDescent="0.3">
      <c r="M893" s="9"/>
    </row>
    <row r="894" spans="13:13" x14ac:dyDescent="0.3">
      <c r="M894" s="9"/>
    </row>
    <row r="895" spans="13:13" x14ac:dyDescent="0.3">
      <c r="M895" s="9"/>
    </row>
    <row r="896" spans="13:13" x14ac:dyDescent="0.3">
      <c r="M896" s="9"/>
    </row>
    <row r="897" spans="13:13" x14ac:dyDescent="0.3">
      <c r="M897" s="9"/>
    </row>
    <row r="898" spans="13:13" x14ac:dyDescent="0.3">
      <c r="M898" s="9"/>
    </row>
    <row r="899" spans="13:13" x14ac:dyDescent="0.3">
      <c r="M899" s="9"/>
    </row>
    <row r="900" spans="13:13" x14ac:dyDescent="0.3">
      <c r="M900" s="9"/>
    </row>
    <row r="901" spans="13:13" x14ac:dyDescent="0.3">
      <c r="M901" s="9"/>
    </row>
    <row r="902" spans="13:13" x14ac:dyDescent="0.3">
      <c r="M902" s="9"/>
    </row>
    <row r="903" spans="13:13" x14ac:dyDescent="0.3">
      <c r="M903" s="9"/>
    </row>
    <row r="904" spans="13:13" x14ac:dyDescent="0.3">
      <c r="M904" s="9"/>
    </row>
    <row r="905" spans="13:13" x14ac:dyDescent="0.3">
      <c r="M905" s="9"/>
    </row>
    <row r="906" spans="13:13" x14ac:dyDescent="0.3">
      <c r="M906" s="9"/>
    </row>
    <row r="907" spans="13:13" x14ac:dyDescent="0.3">
      <c r="M907" s="9"/>
    </row>
    <row r="908" spans="13:13" x14ac:dyDescent="0.3">
      <c r="M908" s="9"/>
    </row>
    <row r="909" spans="13:13" x14ac:dyDescent="0.3">
      <c r="M909" s="9"/>
    </row>
    <row r="910" spans="13:13" x14ac:dyDescent="0.3">
      <c r="M910" s="9"/>
    </row>
    <row r="911" spans="13:13" x14ac:dyDescent="0.3">
      <c r="M911" s="9"/>
    </row>
    <row r="912" spans="13:13" x14ac:dyDescent="0.3">
      <c r="M912" s="9"/>
    </row>
    <row r="913" spans="13:13" x14ac:dyDescent="0.3">
      <c r="M913" s="9"/>
    </row>
    <row r="914" spans="13:13" x14ac:dyDescent="0.3">
      <c r="M914" s="9"/>
    </row>
    <row r="915" spans="13:13" x14ac:dyDescent="0.3">
      <c r="M915" s="9"/>
    </row>
    <row r="916" spans="13:13" x14ac:dyDescent="0.3">
      <c r="M916" s="9"/>
    </row>
    <row r="917" spans="13:13" x14ac:dyDescent="0.3">
      <c r="M917" s="9"/>
    </row>
    <row r="918" spans="13:13" x14ac:dyDescent="0.3">
      <c r="M918" s="9"/>
    </row>
    <row r="919" spans="13:13" x14ac:dyDescent="0.3">
      <c r="M919" s="9"/>
    </row>
    <row r="920" spans="13:13" x14ac:dyDescent="0.3">
      <c r="M920" s="9"/>
    </row>
    <row r="921" spans="13:13" x14ac:dyDescent="0.3">
      <c r="M921" s="9"/>
    </row>
    <row r="922" spans="13:13" x14ac:dyDescent="0.3">
      <c r="M922" s="9"/>
    </row>
    <row r="923" spans="13:13" x14ac:dyDescent="0.3">
      <c r="M923" s="9"/>
    </row>
    <row r="924" spans="13:13" x14ac:dyDescent="0.3">
      <c r="M924" s="9"/>
    </row>
    <row r="925" spans="13:13" x14ac:dyDescent="0.3">
      <c r="M925" s="9"/>
    </row>
    <row r="926" spans="13:13" x14ac:dyDescent="0.3">
      <c r="M926" s="9"/>
    </row>
    <row r="927" spans="13:13" x14ac:dyDescent="0.3">
      <c r="M927" s="9"/>
    </row>
    <row r="928" spans="13:13" x14ac:dyDescent="0.3">
      <c r="M928" s="9"/>
    </row>
    <row r="929" spans="13:13" x14ac:dyDescent="0.3">
      <c r="M929" s="9"/>
    </row>
    <row r="930" spans="13:13" x14ac:dyDescent="0.3">
      <c r="M930" s="9"/>
    </row>
    <row r="931" spans="13:13" x14ac:dyDescent="0.3">
      <c r="M931" s="9"/>
    </row>
    <row r="932" spans="13:13" x14ac:dyDescent="0.3">
      <c r="M932" s="9"/>
    </row>
    <row r="933" spans="13:13" x14ac:dyDescent="0.3">
      <c r="M933" s="9"/>
    </row>
    <row r="934" spans="13:13" x14ac:dyDescent="0.3">
      <c r="M934" s="9"/>
    </row>
    <row r="935" spans="13:13" x14ac:dyDescent="0.3">
      <c r="M935" s="9"/>
    </row>
    <row r="936" spans="13:13" x14ac:dyDescent="0.3">
      <c r="M936" s="9"/>
    </row>
    <row r="937" spans="13:13" x14ac:dyDescent="0.3">
      <c r="M937" s="9"/>
    </row>
    <row r="938" spans="13:13" x14ac:dyDescent="0.3">
      <c r="M938" s="9"/>
    </row>
    <row r="939" spans="13:13" x14ac:dyDescent="0.3">
      <c r="M939" s="9"/>
    </row>
    <row r="940" spans="13:13" x14ac:dyDescent="0.3">
      <c r="M940" s="9"/>
    </row>
    <row r="941" spans="13:13" x14ac:dyDescent="0.3">
      <c r="M941" s="9"/>
    </row>
    <row r="942" spans="13:13" x14ac:dyDescent="0.3">
      <c r="M942" s="9"/>
    </row>
    <row r="943" spans="13:13" x14ac:dyDescent="0.3">
      <c r="M943" s="9"/>
    </row>
    <row r="944" spans="13:13" x14ac:dyDescent="0.3">
      <c r="M944" s="9"/>
    </row>
    <row r="945" spans="13:13" x14ac:dyDescent="0.3">
      <c r="M945" s="9"/>
    </row>
    <row r="946" spans="13:13" x14ac:dyDescent="0.3">
      <c r="M946" s="9"/>
    </row>
    <row r="947" spans="13:13" x14ac:dyDescent="0.3">
      <c r="M947" s="9"/>
    </row>
    <row r="948" spans="13:13" x14ac:dyDescent="0.3">
      <c r="M948" s="9"/>
    </row>
    <row r="949" spans="13:13" x14ac:dyDescent="0.3">
      <c r="M949" s="9"/>
    </row>
    <row r="950" spans="13:13" x14ac:dyDescent="0.3">
      <c r="M950" s="9"/>
    </row>
    <row r="951" spans="13:13" x14ac:dyDescent="0.3">
      <c r="M951" s="9"/>
    </row>
    <row r="952" spans="13:13" x14ac:dyDescent="0.3">
      <c r="M952" s="9"/>
    </row>
  </sheetData>
  <mergeCells count="7">
    <mergeCell ref="J2:J3"/>
    <mergeCell ref="A2:A3"/>
    <mergeCell ref="B2:B3"/>
    <mergeCell ref="C2:G2"/>
    <mergeCell ref="A41:B41"/>
    <mergeCell ref="H2:H3"/>
    <mergeCell ref="I2:I3"/>
  </mergeCells>
  <phoneticPr fontId="29" type="noConversion"/>
  <pageMargins left="0.511811024" right="0.511811024" top="0.78740157499999996" bottom="0.78740157499999996" header="0.31496062000000002" footer="0.31496062000000002"/>
  <pageSetup paperSize="9" scale="43" orientation="portrait" r:id="rId1"/>
  <colBreaks count="2" manualBreakCount="2">
    <brk id="3" max="32" man="1"/>
    <brk id="15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67"/>
  <sheetViews>
    <sheetView workbookViewId="0">
      <selection activeCell="A20" sqref="A20"/>
    </sheetView>
  </sheetViews>
  <sheetFormatPr defaultColWidth="8.6640625" defaultRowHeight="14.4" x14ac:dyDescent="0.3"/>
  <cols>
    <col min="3" max="3" width="21.109375" bestFit="1" customWidth="1"/>
    <col min="4" max="6" width="14.33203125" bestFit="1" customWidth="1"/>
    <col min="10" max="10" width="13.33203125" bestFit="1" customWidth="1"/>
    <col min="11" max="11" width="10.44140625" bestFit="1" customWidth="1"/>
  </cols>
  <sheetData>
    <row r="1" spans="1:26" x14ac:dyDescent="0.3">
      <c r="A1" s="8" t="s">
        <v>30</v>
      </c>
      <c r="B1" s="8" t="s">
        <v>1</v>
      </c>
      <c r="C1" s="8" t="s">
        <v>31</v>
      </c>
      <c r="D1" s="8"/>
      <c r="E1" s="8"/>
      <c r="F1" s="8"/>
      <c r="G1" s="9"/>
      <c r="H1" s="12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10"/>
      <c r="Y1" s="10"/>
      <c r="Z1" s="10"/>
    </row>
    <row r="2" spans="1:26" x14ac:dyDescent="0.3">
      <c r="A2" s="7"/>
      <c r="B2" s="7"/>
      <c r="C2" s="7" t="s">
        <v>32</v>
      </c>
      <c r="D2" s="7" t="s">
        <v>33</v>
      </c>
      <c r="E2" s="7" t="s">
        <v>34</v>
      </c>
      <c r="F2" s="7" t="s">
        <v>35</v>
      </c>
      <c r="G2" s="9"/>
      <c r="H2" s="8" t="s">
        <v>36</v>
      </c>
      <c r="I2" s="9"/>
      <c r="J2" s="8" t="s">
        <v>37</v>
      </c>
      <c r="K2" s="8" t="s">
        <v>38</v>
      </c>
      <c r="L2" s="19"/>
      <c r="M2" s="19"/>
      <c r="N2" s="19"/>
      <c r="O2" s="9"/>
      <c r="P2" s="9"/>
      <c r="Q2" s="9"/>
      <c r="R2" s="9"/>
      <c r="S2" s="9"/>
      <c r="T2" s="9"/>
      <c r="U2" s="9"/>
      <c r="V2" s="9"/>
      <c r="W2" s="10"/>
      <c r="X2" s="10"/>
      <c r="Y2" s="10"/>
      <c r="Z2" s="10"/>
    </row>
    <row r="3" spans="1:26" x14ac:dyDescent="0.3">
      <c r="A3" s="14" t="s">
        <v>10</v>
      </c>
      <c r="B3" s="15" t="s">
        <v>11</v>
      </c>
      <c r="C3" s="16">
        <v>0</v>
      </c>
      <c r="D3" s="16">
        <f>24602.48+113549.52</f>
        <v>138152</v>
      </c>
      <c r="E3" s="18">
        <f>76745.72+42522.69</f>
        <v>119268.41</v>
      </c>
      <c r="F3" s="16">
        <f>SUM(C3:E3)</f>
        <v>257420.41</v>
      </c>
      <c r="G3" s="9"/>
      <c r="H3" s="17" t="e">
        <f>#N/A</f>
        <v>#N/A</v>
      </c>
      <c r="I3" s="11"/>
      <c r="J3" s="17">
        <f>F3*20%</f>
        <v>51484.082000000002</v>
      </c>
      <c r="K3" s="20">
        <v>45966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0"/>
      <c r="Y3" s="10"/>
      <c r="Z3" s="10"/>
    </row>
    <row r="4" spans="1:26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</row>
    <row r="5" spans="1:26" ht="15" thickBot="1" x14ac:dyDescent="0.35">
      <c r="A5" s="31">
        <v>45992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0"/>
      <c r="Y5" s="10"/>
      <c r="Z5" s="10"/>
    </row>
    <row r="6" spans="1:26" x14ac:dyDescent="0.3">
      <c r="A6" s="8" t="s">
        <v>30</v>
      </c>
      <c r="B6" s="8" t="s">
        <v>1</v>
      </c>
      <c r="C6" s="8" t="s">
        <v>31</v>
      </c>
      <c r="D6" s="8"/>
      <c r="E6" s="8"/>
      <c r="F6" s="8"/>
      <c r="G6" s="9"/>
      <c r="H6" s="1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0"/>
      <c r="Y6" s="10"/>
      <c r="Z6" s="10"/>
    </row>
    <row r="7" spans="1:26" x14ac:dyDescent="0.3">
      <c r="A7" s="7"/>
      <c r="B7" s="7"/>
      <c r="C7" s="7" t="s">
        <v>32</v>
      </c>
      <c r="D7" s="7" t="s">
        <v>33</v>
      </c>
      <c r="E7" s="7" t="s">
        <v>34</v>
      </c>
      <c r="F7" s="7" t="s">
        <v>35</v>
      </c>
      <c r="G7" s="9"/>
      <c r="H7" s="8" t="s">
        <v>36</v>
      </c>
      <c r="I7" s="9"/>
      <c r="J7" s="8" t="s">
        <v>37</v>
      </c>
      <c r="K7" s="8" t="s">
        <v>38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</row>
    <row r="8" spans="1:26" x14ac:dyDescent="0.3">
      <c r="A8" s="14" t="s">
        <v>10</v>
      </c>
      <c r="B8" s="15" t="s">
        <v>11</v>
      </c>
      <c r="C8" s="16">
        <v>2514.14</v>
      </c>
      <c r="D8" s="16">
        <f>104619.49+22667.55</f>
        <v>127287.04000000001</v>
      </c>
      <c r="E8" s="18">
        <v>119268.41</v>
      </c>
      <c r="F8" s="22">
        <f>E8+D8+C8</f>
        <v>249069.59000000003</v>
      </c>
      <c r="G8" s="9"/>
      <c r="H8" s="17" t="e">
        <f>H3-F8</f>
        <v>#N/A</v>
      </c>
      <c r="I8" s="11"/>
      <c r="J8" s="17">
        <f>F8*20%</f>
        <v>49813.918000000005</v>
      </c>
      <c r="K8" s="20">
        <v>45996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0"/>
      <c r="Y8" s="10"/>
      <c r="Z8" s="10"/>
    </row>
    <row r="9" spans="1:26" x14ac:dyDescent="0.3">
      <c r="A9" s="14" t="s">
        <v>15</v>
      </c>
      <c r="B9" s="15" t="s">
        <v>5</v>
      </c>
      <c r="C9" s="16">
        <v>146996.57999999999</v>
      </c>
      <c r="D9" s="16">
        <v>94554.96</v>
      </c>
      <c r="E9" s="16">
        <v>0</v>
      </c>
      <c r="F9" s="22">
        <f>E9+D9+C9</f>
        <v>241551.53999999998</v>
      </c>
      <c r="G9" s="9"/>
      <c r="H9" s="17" t="e">
        <f>#N/A</f>
        <v>#N/A</v>
      </c>
      <c r="I9" s="9"/>
      <c r="J9" s="17">
        <f>F9*15%</f>
        <v>36232.730999999992</v>
      </c>
      <c r="K9" s="20">
        <v>45996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</row>
    <row r="10" spans="1:26" x14ac:dyDescent="0.3">
      <c r="A10" s="14" t="s">
        <v>3</v>
      </c>
      <c r="B10" s="15" t="s">
        <v>4</v>
      </c>
      <c r="C10" s="16">
        <v>43115.11</v>
      </c>
      <c r="D10" s="16">
        <f>6599.93+1432.88</f>
        <v>8032.81</v>
      </c>
      <c r="E10" s="16">
        <v>0</v>
      </c>
      <c r="F10" s="22">
        <f>E10+D10+C10</f>
        <v>51147.92</v>
      </c>
      <c r="G10" s="9"/>
      <c r="H10" s="17" t="e">
        <f>#N/A</f>
        <v>#N/A</v>
      </c>
      <c r="I10" s="9"/>
      <c r="J10" s="17">
        <f>F10*20%</f>
        <v>10229.584000000001</v>
      </c>
      <c r="K10" s="20">
        <v>45996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10"/>
      <c r="Z10" s="10"/>
    </row>
    <row r="11" spans="1:26" x14ac:dyDescent="0.3">
      <c r="A11" s="14" t="s">
        <v>40</v>
      </c>
      <c r="B11" s="15" t="s">
        <v>47</v>
      </c>
      <c r="C11" s="22">
        <v>55341.01</v>
      </c>
      <c r="D11" s="22">
        <v>0</v>
      </c>
      <c r="E11" s="22">
        <v>0</v>
      </c>
      <c r="F11" s="22">
        <f>E11+D11+C11</f>
        <v>55341.01</v>
      </c>
      <c r="G11" s="9"/>
      <c r="H11" s="17" t="e">
        <f>#N/A</f>
        <v>#N/A</v>
      </c>
      <c r="I11" s="9"/>
      <c r="J11" s="17">
        <f>F11*20%</f>
        <v>11068.202000000001</v>
      </c>
      <c r="K11" s="20">
        <v>45996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10"/>
      <c r="Z11" s="10"/>
    </row>
    <row r="12" spans="1:26" x14ac:dyDescent="0.3">
      <c r="A12" s="14" t="s">
        <v>49</v>
      </c>
      <c r="B12" s="15" t="s">
        <v>42</v>
      </c>
      <c r="C12" s="22">
        <v>113840.57</v>
      </c>
      <c r="D12" s="22">
        <f>4998.63+23955.46</f>
        <v>28954.09</v>
      </c>
      <c r="E12" s="22">
        <v>0</v>
      </c>
      <c r="F12" s="22">
        <f>E12+D12+C12</f>
        <v>142794.66</v>
      </c>
      <c r="H12" s="17" t="e">
        <f>#N/A</f>
        <v>#N/A</v>
      </c>
      <c r="J12" s="17">
        <f>F12*12.5%</f>
        <v>17849.3325</v>
      </c>
      <c r="K12" s="21">
        <v>45988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10"/>
      <c r="Z12" s="10"/>
    </row>
    <row r="13" spans="1:26" x14ac:dyDescent="0.3">
      <c r="A13" s="9" t="s">
        <v>70</v>
      </c>
      <c r="B13" s="9"/>
      <c r="C13" s="9"/>
      <c r="D13" s="9"/>
      <c r="E13" s="9"/>
      <c r="F13" s="9"/>
      <c r="G13" s="9"/>
      <c r="H13" s="2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0"/>
      <c r="Y13" s="10"/>
      <c r="Z13" s="10"/>
    </row>
    <row r="14" spans="1:26" x14ac:dyDescent="0.3">
      <c r="A14" s="9" t="s">
        <v>71</v>
      </c>
      <c r="B14" s="9"/>
      <c r="C14" s="9"/>
      <c r="D14" s="9"/>
      <c r="E14" s="9"/>
      <c r="F14" s="9"/>
      <c r="G14" s="9"/>
      <c r="H14" s="2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0"/>
      <c r="Y14" s="10"/>
      <c r="Z14" s="10"/>
    </row>
    <row r="15" spans="1:26" x14ac:dyDescent="0.3">
      <c r="A15" s="9" t="s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0"/>
      <c r="Y15" s="10"/>
      <c r="Z15" s="10"/>
    </row>
    <row r="16" spans="1:26" x14ac:dyDescent="0.3">
      <c r="A16" s="9" t="s">
        <v>73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0"/>
      <c r="Y16" s="10"/>
      <c r="Z16" s="10"/>
    </row>
    <row r="17" spans="1:26" x14ac:dyDescent="0.3">
      <c r="A17" s="9" t="s">
        <v>73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10"/>
      <c r="Y17" s="10"/>
      <c r="Z17" s="10"/>
    </row>
    <row r="18" spans="1:2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  <c r="X18" s="10"/>
      <c r="Y18" s="10"/>
      <c r="Z18" s="10"/>
    </row>
    <row r="19" spans="1:2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10"/>
      <c r="Y19" s="10"/>
      <c r="Z19" s="10"/>
    </row>
    <row r="20" spans="1:2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10"/>
      <c r="Y20" s="10"/>
      <c r="Z20" s="10"/>
    </row>
    <row r="21" spans="1:2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10"/>
      <c r="Y21" s="10"/>
      <c r="Z21" s="10"/>
    </row>
    <row r="22" spans="1:2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10"/>
      <c r="Y22" s="10"/>
      <c r="Z22" s="10"/>
    </row>
    <row r="23" spans="1:2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10"/>
      <c r="Y23" s="10"/>
      <c r="Z23" s="10"/>
    </row>
    <row r="24" spans="1:2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10"/>
      <c r="Y24" s="10"/>
      <c r="Z24" s="10"/>
    </row>
    <row r="25" spans="1:2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10"/>
      <c r="Y25" s="10"/>
      <c r="Z25" s="10"/>
    </row>
    <row r="26" spans="1:2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10"/>
      <c r="Y26" s="10"/>
      <c r="Z26" s="10"/>
    </row>
    <row r="27" spans="1:2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10"/>
      <c r="Y27" s="10"/>
      <c r="Z27" s="10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10"/>
      <c r="Y28" s="10"/>
      <c r="Z28" s="10"/>
    </row>
    <row r="29" spans="1:2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10"/>
      <c r="Y29" s="10"/>
      <c r="Z29" s="10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0"/>
      <c r="Y30" s="10"/>
      <c r="Z30" s="10"/>
    </row>
    <row r="31" spans="1:2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10"/>
      <c r="Y31" s="10"/>
      <c r="Z31" s="10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0"/>
      <c r="Y32" s="10"/>
      <c r="Z32" s="10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10"/>
      <c r="Y34" s="10"/>
      <c r="Z34" s="10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10"/>
      <c r="Y35" s="10"/>
      <c r="Z35" s="10"/>
    </row>
    <row r="36" spans="1:2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10"/>
      <c r="Y36" s="10"/>
      <c r="Z36" s="10"/>
    </row>
    <row r="37" spans="1:2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10"/>
      <c r="Y37" s="10"/>
      <c r="Z37" s="10"/>
    </row>
    <row r="38" spans="1:2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10"/>
      <c r="Y38" s="10"/>
      <c r="Z38" s="10"/>
    </row>
    <row r="39" spans="1:2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10"/>
      <c r="Y39" s="10"/>
      <c r="Z39" s="10"/>
    </row>
    <row r="40" spans="1:2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0"/>
      <c r="Y40" s="10"/>
      <c r="Z40" s="10"/>
    </row>
    <row r="41" spans="1:2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10"/>
      <c r="Y41" s="10"/>
      <c r="Z41" s="10"/>
    </row>
    <row r="42" spans="1:2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0"/>
      <c r="X42" s="10"/>
      <c r="Y42" s="10"/>
      <c r="Z42" s="10"/>
    </row>
    <row r="43" spans="1:2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"/>
      <c r="X43" s="10"/>
      <c r="Y43" s="10"/>
      <c r="Z43" s="10"/>
    </row>
    <row r="44" spans="1:2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0"/>
      <c r="Y44" s="10"/>
      <c r="Z44" s="10"/>
    </row>
    <row r="45" spans="1:2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0"/>
      <c r="Y45" s="10"/>
      <c r="Z45" s="10"/>
    </row>
    <row r="46" spans="1:2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10"/>
      <c r="Y46" s="10"/>
      <c r="Z46" s="10"/>
    </row>
    <row r="47" spans="1:2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10"/>
      <c r="Y47" s="10"/>
      <c r="Z47" s="10"/>
    </row>
    <row r="48" spans="1:2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10"/>
      <c r="Y48" s="10"/>
      <c r="Z48" s="10"/>
    </row>
    <row r="49" spans="1:2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10"/>
      <c r="Y49" s="10"/>
      <c r="Z49" s="10"/>
    </row>
    <row r="50" spans="1:2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10"/>
      <c r="Y50" s="10"/>
      <c r="Z50" s="10"/>
    </row>
    <row r="51" spans="1:2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10"/>
      <c r="Y51" s="10"/>
      <c r="Z51" s="10"/>
    </row>
    <row r="52" spans="1:2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10"/>
      <c r="Y52" s="10"/>
      <c r="Z52" s="10"/>
    </row>
    <row r="53" spans="1:2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10"/>
      <c r="Y53" s="10"/>
      <c r="Z53" s="10"/>
    </row>
    <row r="54" spans="1:2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10"/>
      <c r="Y54" s="10"/>
      <c r="Z54" s="10"/>
    </row>
    <row r="55" spans="1:2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10"/>
      <c r="Y55" s="10"/>
      <c r="Z55" s="10"/>
    </row>
    <row r="56" spans="1:2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10"/>
      <c r="Y56" s="10"/>
      <c r="Z56" s="10"/>
    </row>
    <row r="57" spans="1:2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10"/>
      <c r="Y57" s="10"/>
      <c r="Z57" s="10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10"/>
      <c r="Y58" s="10"/>
      <c r="Z58" s="10"/>
    </row>
    <row r="59" spans="1:2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10"/>
      <c r="Y59" s="10"/>
      <c r="Z59" s="10"/>
    </row>
    <row r="60" spans="1:2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10"/>
      <c r="Y60" s="10"/>
      <c r="Z60" s="10"/>
    </row>
    <row r="61" spans="1:2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10"/>
      <c r="Y61" s="10"/>
      <c r="Z61" s="10"/>
    </row>
    <row r="62" spans="1:2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10"/>
      <c r="Y62" s="10"/>
      <c r="Z62" s="10"/>
    </row>
    <row r="63" spans="1:2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0"/>
      <c r="Y63" s="10"/>
      <c r="Z63" s="10"/>
    </row>
    <row r="64" spans="1:2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10"/>
      <c r="Y64" s="10"/>
      <c r="Z64" s="10"/>
    </row>
    <row r="65" spans="1:2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10"/>
      <c r="Y65" s="10"/>
      <c r="Z65" s="10"/>
    </row>
    <row r="66" spans="1:2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10"/>
      <c r="Y66" s="10"/>
      <c r="Z66" s="10"/>
    </row>
    <row r="67" spans="1:2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10"/>
      <c r="Y67" s="10"/>
      <c r="Z67" s="10"/>
    </row>
    <row r="68" spans="1:2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10"/>
      <c r="Y68" s="10"/>
      <c r="Z68" s="10"/>
    </row>
    <row r="69" spans="1:2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10"/>
      <c r="Y69" s="10"/>
      <c r="Z69" s="10"/>
    </row>
    <row r="70" spans="1:2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10"/>
      <c r="Y70" s="10"/>
      <c r="Z70" s="10"/>
    </row>
    <row r="71" spans="1:2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10"/>
      <c r="Y71" s="10"/>
      <c r="Z71" s="10"/>
    </row>
    <row r="72" spans="1:2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10"/>
      <c r="Y72" s="10"/>
      <c r="Z72" s="10"/>
    </row>
    <row r="73" spans="1:2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10"/>
      <c r="Y73" s="10"/>
      <c r="Z73" s="10"/>
    </row>
    <row r="74" spans="1:2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10"/>
      <c r="Y74" s="10"/>
      <c r="Z74" s="10"/>
    </row>
    <row r="75" spans="1:2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10"/>
      <c r="Y75" s="10"/>
      <c r="Z75" s="10"/>
    </row>
    <row r="76" spans="1:2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10"/>
      <c r="Y76" s="10"/>
      <c r="Z76" s="10"/>
    </row>
    <row r="77" spans="1:2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10"/>
      <c r="Y77" s="10"/>
      <c r="Z77" s="10"/>
    </row>
    <row r="78" spans="1:2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10"/>
      <c r="Y78" s="10"/>
      <c r="Z78" s="10"/>
    </row>
    <row r="79" spans="1:2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10"/>
      <c r="Y79" s="10"/>
      <c r="Z79" s="10"/>
    </row>
    <row r="80" spans="1:2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10"/>
      <c r="Y80" s="10"/>
      <c r="Z80" s="10"/>
    </row>
    <row r="81" spans="1:3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10"/>
      <c r="Y81" s="10"/>
      <c r="Z81" s="10"/>
    </row>
    <row r="82" spans="1:3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10"/>
      <c r="Y82" s="10"/>
      <c r="Z82" s="10"/>
    </row>
    <row r="83" spans="1:3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0"/>
      <c r="Y83" s="10"/>
      <c r="Z83" s="10"/>
    </row>
    <row r="84" spans="1:3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10"/>
      <c r="Y84" s="10"/>
      <c r="Z84" s="10"/>
    </row>
    <row r="85" spans="1:3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10"/>
      <c r="Y85" s="10"/>
      <c r="Z85" s="10"/>
    </row>
    <row r="86" spans="1:37" s="13" customFormat="1" ht="15" thickBo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10"/>
      <c r="Y86" s="10"/>
      <c r="Z86" s="1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10"/>
      <c r="Y87" s="10"/>
      <c r="Z87" s="10"/>
    </row>
    <row r="88" spans="1:3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10"/>
      <c r="Y88" s="10"/>
      <c r="Z88" s="10"/>
    </row>
    <row r="89" spans="1:3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10"/>
      <c r="Y89" s="10"/>
      <c r="Z89" s="10"/>
    </row>
    <row r="90" spans="1:3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10"/>
      <c r="Y90" s="10"/>
      <c r="Z90" s="10"/>
    </row>
    <row r="91" spans="1:3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10"/>
      <c r="Y91" s="10"/>
      <c r="Z91" s="10"/>
    </row>
    <row r="92" spans="1:3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10"/>
      <c r="Y92" s="10"/>
      <c r="Z92" s="10"/>
    </row>
    <row r="93" spans="1:3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10"/>
      <c r="Y93" s="10"/>
      <c r="Z93" s="10"/>
    </row>
    <row r="94" spans="1:3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10"/>
      <c r="Y94" s="10"/>
      <c r="Z94" s="10"/>
    </row>
    <row r="95" spans="1:3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10"/>
      <c r="Y95" s="10"/>
      <c r="Z95" s="10"/>
    </row>
    <row r="96" spans="1:3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10"/>
      <c r="Y96" s="10"/>
      <c r="Z96" s="10"/>
    </row>
    <row r="97" spans="1:2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10"/>
      <c r="Y97" s="10"/>
      <c r="Z97" s="10"/>
    </row>
    <row r="98" spans="1:2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10"/>
      <c r="Y98" s="10"/>
      <c r="Z98" s="10"/>
    </row>
    <row r="99" spans="1:2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10"/>
      <c r="Y99" s="10"/>
      <c r="Z99" s="10"/>
    </row>
    <row r="100" spans="1:2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10"/>
      <c r="Y100" s="10"/>
      <c r="Z100" s="10"/>
    </row>
    <row r="101" spans="1:2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10"/>
      <c r="Y101" s="10"/>
      <c r="Z101" s="10"/>
    </row>
    <row r="102" spans="1:2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10"/>
      <c r="Y102" s="10"/>
      <c r="Z102" s="10"/>
    </row>
    <row r="103" spans="1:2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10"/>
      <c r="Y103" s="10"/>
      <c r="Z103" s="10"/>
    </row>
    <row r="104" spans="1:2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10"/>
      <c r="Y104" s="10"/>
      <c r="Z104" s="10"/>
    </row>
    <row r="105" spans="1:2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10"/>
      <c r="Y105" s="10"/>
      <c r="Z105" s="10"/>
    </row>
    <row r="106" spans="1:2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10"/>
      <c r="Y106" s="10"/>
      <c r="Z106" s="10"/>
    </row>
    <row r="107" spans="1:2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10"/>
      <c r="Y107" s="10"/>
      <c r="Z107" s="10"/>
    </row>
    <row r="108" spans="1:2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10"/>
      <c r="Y108" s="10"/>
      <c r="Z108" s="10"/>
    </row>
    <row r="109" spans="1:2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10"/>
      <c r="Y109" s="10"/>
      <c r="Z109" s="10"/>
    </row>
    <row r="110" spans="1:2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10"/>
      <c r="Y110" s="10"/>
      <c r="Z110" s="10"/>
    </row>
    <row r="111" spans="1:2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10"/>
      <c r="Y111" s="10"/>
      <c r="Z111" s="10"/>
    </row>
    <row r="112" spans="1:2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10"/>
      <c r="Y112" s="10"/>
      <c r="Z112" s="10"/>
    </row>
    <row r="113" spans="1:2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10"/>
      <c r="Y113" s="10"/>
      <c r="Z113" s="10"/>
    </row>
    <row r="114" spans="1:2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10"/>
      <c r="Y114" s="10"/>
      <c r="Z114" s="10"/>
    </row>
    <row r="115" spans="1:2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10"/>
      <c r="Y115" s="10"/>
      <c r="Z115" s="10"/>
    </row>
    <row r="116" spans="1:2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10"/>
      <c r="Y116" s="10"/>
      <c r="Z116" s="10"/>
    </row>
    <row r="117" spans="1:2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10"/>
      <c r="Y117" s="10"/>
      <c r="Z117" s="10"/>
    </row>
    <row r="118" spans="1:2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10"/>
      <c r="Y118" s="10"/>
      <c r="Z118" s="10"/>
    </row>
    <row r="119" spans="1:2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10"/>
      <c r="Y119" s="10"/>
      <c r="Z119" s="10"/>
    </row>
    <row r="120" spans="1:2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10"/>
      <c r="Y120" s="10"/>
      <c r="Z120" s="10"/>
    </row>
    <row r="121" spans="1:2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10"/>
      <c r="Y121" s="10"/>
      <c r="Z121" s="10"/>
    </row>
    <row r="122" spans="1:2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10"/>
      <c r="Y122" s="10"/>
      <c r="Z122" s="10"/>
    </row>
    <row r="123" spans="1:2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10"/>
      <c r="Y123" s="10"/>
      <c r="Z123" s="10"/>
    </row>
    <row r="124" spans="1:2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10"/>
      <c r="Y124" s="10"/>
      <c r="Z124" s="10"/>
    </row>
    <row r="125" spans="1:2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10"/>
      <c r="Y125" s="10"/>
      <c r="Z125" s="10"/>
    </row>
    <row r="126" spans="1:2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10"/>
      <c r="Y126" s="10"/>
      <c r="Z126" s="10"/>
    </row>
    <row r="127" spans="1:2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10"/>
      <c r="Y127" s="10"/>
      <c r="Z127" s="10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10"/>
      <c r="Y128" s="10"/>
      <c r="Z128" s="10"/>
    </row>
    <row r="129" spans="1:2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10"/>
      <c r="Y129" s="10"/>
      <c r="Z129" s="10"/>
    </row>
    <row r="130" spans="1:2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10"/>
      <c r="Y130" s="10"/>
      <c r="Z130" s="10"/>
    </row>
    <row r="131" spans="1:2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10"/>
      <c r="Y131" s="10"/>
      <c r="Z131" s="10"/>
    </row>
    <row r="132" spans="1:2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10"/>
      <c r="Y132" s="10"/>
      <c r="Z132" s="10"/>
    </row>
    <row r="133" spans="1:2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10"/>
      <c r="Y133" s="10"/>
      <c r="Z133" s="10"/>
    </row>
    <row r="134" spans="1:2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10"/>
      <c r="Y134" s="10"/>
      <c r="Z134" s="10"/>
    </row>
    <row r="135" spans="1:2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10"/>
      <c r="Y135" s="10"/>
      <c r="Z135" s="10"/>
    </row>
    <row r="136" spans="1:2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10"/>
      <c r="Y136" s="10"/>
      <c r="Z136" s="10"/>
    </row>
    <row r="137" spans="1:2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10"/>
      <c r="Y137" s="10"/>
      <c r="Z137" s="10"/>
    </row>
    <row r="138" spans="1:2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10"/>
      <c r="Y138" s="10"/>
      <c r="Z138" s="10"/>
    </row>
    <row r="139" spans="1:2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10"/>
      <c r="Y139" s="10"/>
      <c r="Z139" s="10"/>
    </row>
    <row r="140" spans="1:2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10"/>
      <c r="Y140" s="10"/>
      <c r="Z140" s="10"/>
    </row>
    <row r="141" spans="1:2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10"/>
      <c r="Y141" s="10"/>
      <c r="Z141" s="10"/>
    </row>
    <row r="142" spans="1:2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10"/>
      <c r="Y142" s="10"/>
      <c r="Z142" s="10"/>
    </row>
    <row r="143" spans="1:2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10"/>
      <c r="Y143" s="10"/>
      <c r="Z143" s="10"/>
    </row>
    <row r="144" spans="1:2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10"/>
      <c r="Y144" s="10"/>
      <c r="Z144" s="10"/>
    </row>
    <row r="145" spans="1:2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10"/>
      <c r="Y145" s="10"/>
      <c r="Z145" s="10"/>
    </row>
    <row r="146" spans="1:2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10"/>
      <c r="Y146" s="10"/>
      <c r="Z146" s="10"/>
    </row>
    <row r="147" spans="1:2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10"/>
      <c r="Y147" s="10"/>
      <c r="Z147" s="10"/>
    </row>
    <row r="148" spans="1:2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10"/>
      <c r="Y148" s="10"/>
      <c r="Z148" s="10"/>
    </row>
    <row r="149" spans="1:2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10"/>
      <c r="Y149" s="10"/>
      <c r="Z149" s="10"/>
    </row>
    <row r="150" spans="1:2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10"/>
      <c r="Y150" s="10"/>
      <c r="Z150" s="10"/>
    </row>
    <row r="151" spans="1:2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10"/>
      <c r="Y151" s="10"/>
      <c r="Z151" s="10"/>
    </row>
    <row r="152" spans="1:2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10"/>
      <c r="Y152" s="10"/>
      <c r="Z152" s="10"/>
    </row>
    <row r="153" spans="1:2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10"/>
      <c r="Y153" s="10"/>
      <c r="Z153" s="10"/>
    </row>
    <row r="154" spans="1:2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10"/>
      <c r="Y154" s="10"/>
      <c r="Z154" s="10"/>
    </row>
    <row r="155" spans="1:2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10"/>
      <c r="Y155" s="10"/>
      <c r="Z155" s="10"/>
    </row>
    <row r="156" spans="1:2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10"/>
      <c r="Y156" s="10"/>
      <c r="Z156" s="10"/>
    </row>
    <row r="157" spans="1:2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10"/>
      <c r="Y157" s="10"/>
      <c r="Z157" s="10"/>
    </row>
    <row r="158" spans="1:2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10"/>
      <c r="Y158" s="10"/>
      <c r="Z158" s="10"/>
    </row>
    <row r="159" spans="1:2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10"/>
      <c r="Y159" s="10"/>
      <c r="Z159" s="10"/>
    </row>
    <row r="160" spans="1:2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10"/>
      <c r="Y160" s="10"/>
      <c r="Z160" s="10"/>
    </row>
    <row r="161" spans="1:2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10"/>
      <c r="Y161" s="10"/>
      <c r="Z161" s="10"/>
    </row>
    <row r="162" spans="1:2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10"/>
      <c r="Y162" s="10"/>
      <c r="Z162" s="10"/>
    </row>
    <row r="163" spans="1:2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10"/>
      <c r="Y163" s="10"/>
      <c r="Z163" s="10"/>
    </row>
    <row r="164" spans="1:2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10"/>
      <c r="Y164" s="10"/>
      <c r="Z164" s="10"/>
    </row>
    <row r="165" spans="1:2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10"/>
      <c r="Y165" s="10"/>
      <c r="Z165" s="10"/>
    </row>
    <row r="166" spans="1:2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10"/>
      <c r="Y166" s="10"/>
      <c r="Z166" s="10"/>
    </row>
    <row r="167" spans="1:2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10"/>
      <c r="Y167" s="10"/>
      <c r="Z167" s="10"/>
    </row>
    <row r="168" spans="1:2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10"/>
      <c r="Y168" s="10"/>
      <c r="Z168" s="10"/>
    </row>
    <row r="169" spans="1:2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10"/>
      <c r="Y169" s="10"/>
      <c r="Z169" s="10"/>
    </row>
    <row r="170" spans="1:2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10"/>
      <c r="Y170" s="10"/>
      <c r="Z170" s="10"/>
    </row>
    <row r="171" spans="1:2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10"/>
      <c r="Y171" s="10"/>
      <c r="Z171" s="10"/>
    </row>
    <row r="172" spans="1:2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10"/>
      <c r="Y172" s="10"/>
      <c r="Z172" s="10"/>
    </row>
    <row r="173" spans="1:2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10"/>
      <c r="Y173" s="10"/>
      <c r="Z173" s="10"/>
    </row>
    <row r="174" spans="1:2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10"/>
      <c r="Y174" s="10"/>
      <c r="Z174" s="10"/>
    </row>
    <row r="175" spans="1:2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10"/>
      <c r="Y175" s="10"/>
      <c r="Z175" s="10"/>
    </row>
    <row r="176" spans="1:2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10"/>
      <c r="Y176" s="10"/>
      <c r="Z176" s="10"/>
    </row>
    <row r="177" spans="1:2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10"/>
      <c r="Y177" s="10"/>
      <c r="Z177" s="10"/>
    </row>
    <row r="178" spans="1:2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10"/>
      <c r="Y178" s="10"/>
      <c r="Z178" s="10"/>
    </row>
    <row r="179" spans="1:2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10"/>
      <c r="Y179" s="10"/>
      <c r="Z179" s="10"/>
    </row>
    <row r="180" spans="1:2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10"/>
      <c r="Y180" s="10"/>
      <c r="Z180" s="10"/>
    </row>
    <row r="181" spans="1:2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10"/>
      <c r="Y181" s="10"/>
      <c r="Z181" s="10"/>
    </row>
    <row r="182" spans="1:2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10"/>
      <c r="Y182" s="10"/>
      <c r="Z182" s="10"/>
    </row>
    <row r="183" spans="1:2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10"/>
      <c r="Y183" s="10"/>
      <c r="Z183" s="10"/>
    </row>
    <row r="184" spans="1:2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10"/>
      <c r="Y184" s="10"/>
      <c r="Z184" s="10"/>
    </row>
    <row r="185" spans="1:2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10"/>
      <c r="Y185" s="10"/>
      <c r="Z185" s="10"/>
    </row>
    <row r="186" spans="1:2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10"/>
      <c r="Y186" s="10"/>
      <c r="Z186" s="10"/>
    </row>
    <row r="187" spans="1:2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10"/>
      <c r="Y187" s="10"/>
      <c r="Z187" s="10"/>
    </row>
    <row r="188" spans="1:2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10"/>
      <c r="Y188" s="10"/>
      <c r="Z188" s="10"/>
    </row>
    <row r="189" spans="1:2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10"/>
      <c r="Y189" s="10"/>
      <c r="Z189" s="10"/>
    </row>
    <row r="190" spans="1:2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0"/>
      <c r="Y190" s="10"/>
      <c r="Z190" s="10"/>
    </row>
    <row r="191" spans="1:2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0"/>
      <c r="Y191" s="10"/>
      <c r="Z191" s="10"/>
    </row>
    <row r="192" spans="1:2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10"/>
      <c r="Y192" s="10"/>
      <c r="Z192" s="10"/>
    </row>
    <row r="193" spans="1:2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10"/>
      <c r="Y193" s="10"/>
      <c r="Z193" s="10"/>
    </row>
    <row r="194" spans="1:2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10"/>
      <c r="Y194" s="10"/>
      <c r="Z194" s="10"/>
    </row>
    <row r="195" spans="1:2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0"/>
      <c r="Y195" s="10"/>
      <c r="Z195" s="10"/>
    </row>
    <row r="196" spans="1:2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0"/>
      <c r="Y196" s="10"/>
      <c r="Z196" s="10"/>
    </row>
    <row r="197" spans="1:2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0"/>
      <c r="Y197" s="10"/>
      <c r="Z197" s="10"/>
    </row>
    <row r="198" spans="1:2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10"/>
      <c r="Y198" s="10"/>
      <c r="Z198" s="10"/>
    </row>
    <row r="199" spans="1:2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10"/>
      <c r="Y199" s="10"/>
      <c r="Z199" s="10"/>
    </row>
    <row r="200" spans="1:2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10"/>
      <c r="Y200" s="10"/>
      <c r="Z200" s="10"/>
    </row>
    <row r="201" spans="1:2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10"/>
      <c r="Y201" s="10"/>
      <c r="Z201" s="10"/>
    </row>
    <row r="202" spans="1:2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10"/>
      <c r="Y202" s="10"/>
      <c r="Z202" s="10"/>
    </row>
    <row r="203" spans="1:2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10"/>
      <c r="Y203" s="10"/>
      <c r="Z203" s="10"/>
    </row>
    <row r="204" spans="1:2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10"/>
      <c r="Y204" s="10"/>
      <c r="Z204" s="10"/>
    </row>
    <row r="205" spans="1:2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10"/>
      <c r="Y205" s="10"/>
      <c r="Z205" s="10"/>
    </row>
    <row r="206" spans="1:2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10"/>
      <c r="Y206" s="10"/>
      <c r="Z206" s="10"/>
    </row>
    <row r="207" spans="1:2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10"/>
      <c r="Y207" s="10"/>
      <c r="Z207" s="10"/>
    </row>
    <row r="208" spans="1:2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10"/>
      <c r="Y208" s="10"/>
      <c r="Z208" s="10"/>
    </row>
    <row r="209" spans="1:2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10"/>
      <c r="Y209" s="10"/>
      <c r="Z209" s="10"/>
    </row>
    <row r="210" spans="1:2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10"/>
      <c r="Y210" s="10"/>
      <c r="Z210" s="10"/>
    </row>
    <row r="211" spans="1:2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10"/>
      <c r="Y211" s="10"/>
      <c r="Z211" s="10"/>
    </row>
    <row r="212" spans="1:2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10"/>
      <c r="Y212" s="10"/>
      <c r="Z212" s="10"/>
    </row>
    <row r="213" spans="1:2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10"/>
      <c r="Y213" s="10"/>
      <c r="Z213" s="10"/>
    </row>
    <row r="214" spans="1:2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10"/>
      <c r="Y214" s="10"/>
      <c r="Z214" s="10"/>
    </row>
    <row r="215" spans="1:2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10"/>
      <c r="Y215" s="10"/>
      <c r="Z215" s="10"/>
    </row>
    <row r="216" spans="1:2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10"/>
      <c r="Y216" s="10"/>
      <c r="Z216" s="10"/>
    </row>
    <row r="217" spans="1:2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10"/>
      <c r="Y217" s="10"/>
      <c r="Z217" s="10"/>
    </row>
    <row r="218" spans="1:2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10"/>
      <c r="Y218" s="10"/>
      <c r="Z218" s="10"/>
    </row>
    <row r="219" spans="1:2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10"/>
      <c r="Y219" s="10"/>
      <c r="Z219" s="10"/>
    </row>
    <row r="220" spans="1:2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10"/>
      <c r="Y220" s="10"/>
      <c r="Z220" s="10"/>
    </row>
    <row r="221" spans="1:2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10"/>
      <c r="Y221" s="10"/>
      <c r="Z221" s="10"/>
    </row>
    <row r="222" spans="1:2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10"/>
      <c r="Y222" s="10"/>
      <c r="Z222" s="10"/>
    </row>
    <row r="223" spans="1:2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10"/>
      <c r="Y223" s="10"/>
      <c r="Z223" s="10"/>
    </row>
    <row r="224" spans="1:2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10"/>
      <c r="Y224" s="10"/>
      <c r="Z224" s="10"/>
    </row>
    <row r="225" spans="1:2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10"/>
      <c r="Y225" s="10"/>
      <c r="Z225" s="10"/>
    </row>
    <row r="226" spans="1:2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10"/>
      <c r="Y226" s="10"/>
      <c r="Z226" s="10"/>
    </row>
    <row r="227" spans="1:2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10"/>
      <c r="Y227" s="10"/>
      <c r="Z227" s="10"/>
    </row>
    <row r="228" spans="1:2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10"/>
      <c r="Y228" s="10"/>
      <c r="Z228" s="10"/>
    </row>
    <row r="229" spans="1:2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10"/>
      <c r="Y229" s="10"/>
      <c r="Z229" s="10"/>
    </row>
    <row r="230" spans="1:2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10"/>
      <c r="Y230" s="10"/>
      <c r="Z230" s="10"/>
    </row>
    <row r="231" spans="1:2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10"/>
      <c r="Y231" s="10"/>
      <c r="Z231" s="10"/>
    </row>
    <row r="232" spans="1:2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10"/>
      <c r="Y232" s="10"/>
      <c r="Z232" s="10"/>
    </row>
    <row r="233" spans="1:2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10"/>
      <c r="Y233" s="10"/>
      <c r="Z233" s="10"/>
    </row>
    <row r="234" spans="1:2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10"/>
      <c r="Y234" s="10"/>
      <c r="Z234" s="10"/>
    </row>
    <row r="235" spans="1:2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10"/>
      <c r="Y235" s="10"/>
      <c r="Z235" s="10"/>
    </row>
    <row r="236" spans="1:2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10"/>
      <c r="Y236" s="10"/>
      <c r="Z236" s="10"/>
    </row>
    <row r="237" spans="1:2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10"/>
      <c r="Y237" s="10"/>
      <c r="Z237" s="10"/>
    </row>
    <row r="238" spans="1:2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10"/>
      <c r="Y238" s="10"/>
      <c r="Z238" s="10"/>
    </row>
    <row r="239" spans="1:2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10"/>
      <c r="Y239" s="10"/>
      <c r="Z239" s="10"/>
    </row>
    <row r="240" spans="1:2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10"/>
      <c r="Y240" s="10"/>
      <c r="Z240" s="10"/>
    </row>
    <row r="241" spans="1:2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10"/>
      <c r="Y241" s="10"/>
      <c r="Z241" s="10"/>
    </row>
    <row r="242" spans="1:2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10"/>
      <c r="Y242" s="10"/>
      <c r="Z242" s="10"/>
    </row>
    <row r="243" spans="1:2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10"/>
      <c r="Y243" s="10"/>
      <c r="Z243" s="10"/>
    </row>
    <row r="244" spans="1:2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10"/>
      <c r="Y244" s="10"/>
      <c r="Z244" s="10"/>
    </row>
    <row r="245" spans="1:2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10"/>
      <c r="Y245" s="10"/>
      <c r="Z245" s="10"/>
    </row>
    <row r="246" spans="1:2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10"/>
      <c r="Y246" s="10"/>
      <c r="Z246" s="10"/>
    </row>
    <row r="247" spans="1:2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10"/>
      <c r="Y247" s="10"/>
      <c r="Z247" s="10"/>
    </row>
    <row r="248" spans="1:2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10"/>
      <c r="Y248" s="10"/>
      <c r="Z248" s="10"/>
    </row>
    <row r="249" spans="1:2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10"/>
      <c r="Y249" s="10"/>
      <c r="Z249" s="10"/>
    </row>
    <row r="250" spans="1:2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10"/>
      <c r="Y250" s="10"/>
      <c r="Z250" s="10"/>
    </row>
    <row r="251" spans="1:2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10"/>
      <c r="Y251" s="10"/>
      <c r="Z251" s="10"/>
    </row>
    <row r="252" spans="1:2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10"/>
      <c r="Y252" s="10"/>
      <c r="Z252" s="10"/>
    </row>
    <row r="253" spans="1:2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10"/>
      <c r="Y253" s="10"/>
      <c r="Z253" s="10"/>
    </row>
    <row r="254" spans="1:2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10"/>
      <c r="Y254" s="10"/>
      <c r="Z254" s="10"/>
    </row>
    <row r="255" spans="1:2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10"/>
      <c r="Y255" s="10"/>
      <c r="Z255" s="10"/>
    </row>
    <row r="256" spans="1:2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10"/>
      <c r="Y256" s="10"/>
      <c r="Z256" s="10"/>
    </row>
    <row r="257" spans="1:2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10"/>
      <c r="Y257" s="10"/>
      <c r="Z257" s="10"/>
    </row>
    <row r="258" spans="1:2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10"/>
      <c r="Y258" s="10"/>
      <c r="Z258" s="10"/>
    </row>
    <row r="259" spans="1:2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10"/>
      <c r="Y259" s="10"/>
      <c r="Z259" s="10"/>
    </row>
    <row r="260" spans="1:2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10"/>
      <c r="Y260" s="10"/>
      <c r="Z260" s="10"/>
    </row>
    <row r="261" spans="1:2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10"/>
      <c r="Y261" s="10"/>
      <c r="Z261" s="10"/>
    </row>
    <row r="262" spans="1:2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10"/>
      <c r="Y262" s="10"/>
      <c r="Z262" s="10"/>
    </row>
    <row r="263" spans="1:2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10"/>
      <c r="Y263" s="10"/>
      <c r="Z263" s="10"/>
    </row>
    <row r="264" spans="1:2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10"/>
      <c r="Y264" s="10"/>
      <c r="Z264" s="10"/>
    </row>
    <row r="265" spans="1:2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10"/>
      <c r="Y265" s="10"/>
      <c r="Z265" s="10"/>
    </row>
    <row r="266" spans="1:2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10"/>
      <c r="Y266" s="10"/>
      <c r="Z266" s="10"/>
    </row>
    <row r="267" spans="1:2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10"/>
      <c r="Y267" s="10"/>
      <c r="Z267" s="10"/>
    </row>
    <row r="268" spans="1:2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10"/>
      <c r="Y268" s="10"/>
      <c r="Z268" s="10"/>
    </row>
    <row r="269" spans="1:2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10"/>
      <c r="Y269" s="10"/>
      <c r="Z269" s="10"/>
    </row>
    <row r="270" spans="1:2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10"/>
      <c r="Y270" s="10"/>
      <c r="Z270" s="10"/>
    </row>
    <row r="271" spans="1:2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10"/>
      <c r="Y271" s="10"/>
      <c r="Z271" s="10"/>
    </row>
    <row r="272" spans="1:2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10"/>
      <c r="Y272" s="10"/>
      <c r="Z272" s="10"/>
    </row>
    <row r="273" spans="1:2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10"/>
      <c r="Y273" s="10"/>
      <c r="Z273" s="10"/>
    </row>
    <row r="274" spans="1:2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10"/>
      <c r="Y274" s="10"/>
      <c r="Z274" s="10"/>
    </row>
    <row r="275" spans="1:2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10"/>
      <c r="Y275" s="10"/>
      <c r="Z275" s="10"/>
    </row>
    <row r="276" spans="1:2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10"/>
      <c r="Y276" s="10"/>
      <c r="Z276" s="10"/>
    </row>
    <row r="277" spans="1:2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10"/>
      <c r="Y277" s="10"/>
      <c r="Z277" s="10"/>
    </row>
    <row r="278" spans="1:2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10"/>
      <c r="Y278" s="10"/>
      <c r="Z278" s="10"/>
    </row>
    <row r="279" spans="1:2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10"/>
      <c r="Y279" s="10"/>
      <c r="Z279" s="10"/>
    </row>
    <row r="280" spans="1:2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10"/>
      <c r="Y280" s="10"/>
      <c r="Z280" s="10"/>
    </row>
    <row r="281" spans="1:2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10"/>
      <c r="Y281" s="10"/>
      <c r="Z281" s="10"/>
    </row>
    <row r="282" spans="1:2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10"/>
      <c r="Y282" s="10"/>
      <c r="Z282" s="10"/>
    </row>
    <row r="283" spans="1:2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10"/>
      <c r="Y283" s="10"/>
      <c r="Z283" s="10"/>
    </row>
    <row r="284" spans="1:2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10"/>
      <c r="Y284" s="10"/>
      <c r="Z284" s="10"/>
    </row>
    <row r="285" spans="1:2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10"/>
      <c r="Y285" s="10"/>
      <c r="Z285" s="10"/>
    </row>
    <row r="286" spans="1:2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10"/>
      <c r="Y286" s="10"/>
      <c r="Z286" s="10"/>
    </row>
    <row r="287" spans="1:2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10"/>
      <c r="Y287" s="10"/>
      <c r="Z287" s="10"/>
    </row>
    <row r="288" spans="1:2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10"/>
      <c r="Y288" s="10"/>
      <c r="Z288" s="10"/>
    </row>
    <row r="289" spans="1:2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10"/>
      <c r="Y289" s="10"/>
      <c r="Z289" s="10"/>
    </row>
    <row r="290" spans="1:2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10"/>
      <c r="Y290" s="10"/>
      <c r="Z290" s="10"/>
    </row>
    <row r="291" spans="1:2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10"/>
      <c r="Y291" s="10"/>
      <c r="Z291" s="10"/>
    </row>
    <row r="292" spans="1:2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10"/>
      <c r="Y292" s="10"/>
      <c r="Z292" s="10"/>
    </row>
    <row r="293" spans="1:2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10"/>
      <c r="Y293" s="10"/>
      <c r="Z293" s="10"/>
    </row>
    <row r="294" spans="1:2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10"/>
      <c r="Y294" s="10"/>
      <c r="Z294" s="10"/>
    </row>
    <row r="295" spans="1:2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10"/>
      <c r="Y295" s="10"/>
      <c r="Z295" s="10"/>
    </row>
    <row r="296" spans="1:2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10"/>
      <c r="Y296" s="10"/>
      <c r="Z296" s="10"/>
    </row>
    <row r="297" spans="1:2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10"/>
      <c r="Y297" s="10"/>
      <c r="Z297" s="10"/>
    </row>
    <row r="298" spans="1:2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10"/>
      <c r="Y298" s="10"/>
      <c r="Z298" s="10"/>
    </row>
    <row r="299" spans="1:2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10"/>
      <c r="Y299" s="10"/>
      <c r="Z299" s="10"/>
    </row>
    <row r="300" spans="1:2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10"/>
      <c r="Y300" s="10"/>
      <c r="Z300" s="10"/>
    </row>
    <row r="301" spans="1:2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10"/>
      <c r="Y301" s="10"/>
      <c r="Z301" s="10"/>
    </row>
    <row r="302" spans="1:2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10"/>
      <c r="Y302" s="10"/>
      <c r="Z302" s="10"/>
    </row>
    <row r="303" spans="1:2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10"/>
      <c r="Y303" s="10"/>
      <c r="Z303" s="10"/>
    </row>
    <row r="304" spans="1:2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10"/>
      <c r="Y304" s="10"/>
      <c r="Z304" s="10"/>
    </row>
    <row r="305" spans="1:2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10"/>
      <c r="Y305" s="10"/>
      <c r="Z305" s="10"/>
    </row>
    <row r="306" spans="1:2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10"/>
      <c r="Y306" s="10"/>
      <c r="Z306" s="10"/>
    </row>
    <row r="307" spans="1:2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10"/>
      <c r="Y307" s="10"/>
      <c r="Z307" s="10"/>
    </row>
    <row r="308" spans="1:2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10"/>
      <c r="Y308" s="10"/>
      <c r="Z308" s="10"/>
    </row>
    <row r="309" spans="1:2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10"/>
      <c r="Y309" s="10"/>
      <c r="Z309" s="10"/>
    </row>
    <row r="310" spans="1:2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10"/>
      <c r="Y310" s="10"/>
      <c r="Z310" s="10"/>
    </row>
    <row r="311" spans="1:2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10"/>
      <c r="Y311" s="10"/>
      <c r="Z311" s="10"/>
    </row>
    <row r="312" spans="1:2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10"/>
      <c r="Y312" s="10"/>
      <c r="Z312" s="10"/>
    </row>
    <row r="313" spans="1:2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10"/>
      <c r="Y313" s="10"/>
      <c r="Z313" s="10"/>
    </row>
    <row r="314" spans="1:2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10"/>
      <c r="Y314" s="10"/>
      <c r="Z314" s="10"/>
    </row>
    <row r="315" spans="1:2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10"/>
      <c r="Y315" s="10"/>
      <c r="Z315" s="10"/>
    </row>
    <row r="316" spans="1:2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10"/>
      <c r="Y316" s="10"/>
      <c r="Z316" s="10"/>
    </row>
    <row r="317" spans="1:2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10"/>
      <c r="Y317" s="10"/>
      <c r="Z317" s="10"/>
    </row>
    <row r="318" spans="1:2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10"/>
      <c r="Y318" s="10"/>
      <c r="Z318" s="10"/>
    </row>
    <row r="319" spans="1:2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10"/>
      <c r="Y319" s="10"/>
      <c r="Z319" s="10"/>
    </row>
    <row r="320" spans="1:2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10"/>
      <c r="Y320" s="10"/>
      <c r="Z320" s="10"/>
    </row>
    <row r="321" spans="1:2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10"/>
      <c r="Y321" s="10"/>
      <c r="Z321" s="10"/>
    </row>
    <row r="322" spans="1:2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10"/>
      <c r="Y322" s="10"/>
      <c r="Z322" s="10"/>
    </row>
    <row r="323" spans="1:2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10"/>
      <c r="Y323" s="10"/>
      <c r="Z323" s="10"/>
    </row>
    <row r="324" spans="1:2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10"/>
      <c r="Y324" s="10"/>
      <c r="Z324" s="10"/>
    </row>
    <row r="325" spans="1:2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10"/>
      <c r="Y325" s="10"/>
      <c r="Z325" s="10"/>
    </row>
    <row r="326" spans="1:2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10"/>
      <c r="Y326" s="10"/>
      <c r="Z326" s="10"/>
    </row>
    <row r="327" spans="1:2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10"/>
      <c r="Y327" s="10"/>
      <c r="Z327" s="10"/>
    </row>
    <row r="328" spans="1:2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10"/>
      <c r="Y328" s="10"/>
      <c r="Z328" s="10"/>
    </row>
    <row r="329" spans="1:2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10"/>
      <c r="Y329" s="10"/>
      <c r="Z329" s="10"/>
    </row>
    <row r="330" spans="1:2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10"/>
      <c r="Y330" s="10"/>
      <c r="Z330" s="10"/>
    </row>
    <row r="331" spans="1:2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10"/>
      <c r="Y331" s="10"/>
      <c r="Z331" s="10"/>
    </row>
    <row r="332" spans="1:2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10"/>
      <c r="Y332" s="10"/>
      <c r="Z332" s="10"/>
    </row>
    <row r="333" spans="1:2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10"/>
      <c r="Y333" s="10"/>
      <c r="Z333" s="10"/>
    </row>
    <row r="334" spans="1:2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10"/>
      <c r="Y334" s="10"/>
      <c r="Z334" s="10"/>
    </row>
    <row r="335" spans="1:2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10"/>
      <c r="Y335" s="10"/>
      <c r="Z335" s="10"/>
    </row>
    <row r="336" spans="1:2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10"/>
      <c r="Y336" s="10"/>
      <c r="Z336" s="10"/>
    </row>
    <row r="337" spans="1:2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10"/>
      <c r="Y337" s="10"/>
      <c r="Z337" s="10"/>
    </row>
    <row r="338" spans="1:2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10"/>
      <c r="Y338" s="10"/>
      <c r="Z338" s="10"/>
    </row>
    <row r="339" spans="1:2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10"/>
      <c r="Y339" s="10"/>
      <c r="Z339" s="10"/>
    </row>
    <row r="340" spans="1:2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10"/>
      <c r="Y340" s="10"/>
      <c r="Z340" s="10"/>
    </row>
    <row r="341" spans="1:2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10"/>
      <c r="Y341" s="10"/>
      <c r="Z341" s="10"/>
    </row>
    <row r="342" spans="1:2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10"/>
      <c r="Y342" s="10"/>
      <c r="Z342" s="10"/>
    </row>
    <row r="343" spans="1:2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10"/>
      <c r="Y343" s="10"/>
      <c r="Z343" s="10"/>
    </row>
    <row r="344" spans="1:2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10"/>
      <c r="Y344" s="10"/>
      <c r="Z344" s="10"/>
    </row>
    <row r="345" spans="1:2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10"/>
      <c r="Y345" s="10"/>
      <c r="Z345" s="10"/>
    </row>
    <row r="346" spans="1:2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10"/>
      <c r="Y346" s="10"/>
      <c r="Z346" s="10"/>
    </row>
    <row r="347" spans="1:2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10"/>
      <c r="Y347" s="10"/>
      <c r="Z347" s="10"/>
    </row>
    <row r="348" spans="1:2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10"/>
      <c r="Y348" s="10"/>
      <c r="Z348" s="10"/>
    </row>
    <row r="349" spans="1:2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10"/>
      <c r="Y349" s="10"/>
      <c r="Z349" s="10"/>
    </row>
    <row r="350" spans="1:2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10"/>
      <c r="Y350" s="10"/>
      <c r="Z350" s="10"/>
    </row>
    <row r="351" spans="1:2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10"/>
      <c r="Y351" s="10"/>
      <c r="Z351" s="10"/>
    </row>
    <row r="352" spans="1:2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10"/>
      <c r="Y352" s="10"/>
      <c r="Z352" s="10"/>
    </row>
    <row r="353" spans="1:2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10"/>
      <c r="Y353" s="10"/>
      <c r="Z353" s="10"/>
    </row>
    <row r="354" spans="1:2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10"/>
      <c r="Y354" s="10"/>
      <c r="Z354" s="10"/>
    </row>
    <row r="355" spans="1:2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10"/>
      <c r="Y355" s="10"/>
      <c r="Z355" s="10"/>
    </row>
    <row r="356" spans="1:2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10"/>
      <c r="Y356" s="10"/>
      <c r="Z356" s="10"/>
    </row>
    <row r="357" spans="1:2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10"/>
      <c r="Y357" s="10"/>
      <c r="Z357" s="10"/>
    </row>
    <row r="358" spans="1:2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10"/>
      <c r="Y358" s="10"/>
      <c r="Z358" s="10"/>
    </row>
    <row r="359" spans="1:2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10"/>
      <c r="Y359" s="10"/>
      <c r="Z359" s="10"/>
    </row>
    <row r="360" spans="1:2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10"/>
      <c r="Y360" s="10"/>
      <c r="Z360" s="10"/>
    </row>
    <row r="361" spans="1:2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10"/>
      <c r="Y361" s="10"/>
      <c r="Z361" s="10"/>
    </row>
    <row r="362" spans="1:2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10"/>
      <c r="Y362" s="10"/>
      <c r="Z362" s="10"/>
    </row>
    <row r="363" spans="1:2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10"/>
      <c r="Y363" s="10"/>
      <c r="Z363" s="10"/>
    </row>
    <row r="364" spans="1:2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10"/>
      <c r="Y364" s="10"/>
      <c r="Z364" s="10"/>
    </row>
    <row r="365" spans="1:2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10"/>
      <c r="Y365" s="10"/>
      <c r="Z365" s="10"/>
    </row>
    <row r="366" spans="1:2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10"/>
      <c r="Y366" s="10"/>
      <c r="Z366" s="10"/>
    </row>
    <row r="367" spans="1:2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10"/>
      <c r="Y367" s="10"/>
      <c r="Z367" s="10"/>
    </row>
    <row r="368" spans="1:2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10"/>
      <c r="Y368" s="10"/>
      <c r="Z368" s="10"/>
    </row>
    <row r="369" spans="1:2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10"/>
      <c r="Y369" s="10"/>
      <c r="Z369" s="10"/>
    </row>
    <row r="370" spans="1:2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10"/>
      <c r="Y370" s="10"/>
      <c r="Z370" s="10"/>
    </row>
    <row r="371" spans="1:2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10"/>
      <c r="Y371" s="10"/>
      <c r="Z371" s="10"/>
    </row>
    <row r="372" spans="1:2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10"/>
      <c r="Y372" s="10"/>
      <c r="Z372" s="10"/>
    </row>
    <row r="373" spans="1:2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10"/>
      <c r="Y373" s="10"/>
      <c r="Z373" s="10"/>
    </row>
    <row r="374" spans="1:2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10"/>
      <c r="Y374" s="10"/>
      <c r="Z374" s="10"/>
    </row>
    <row r="375" spans="1:2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10"/>
      <c r="Y375" s="10"/>
      <c r="Z375" s="10"/>
    </row>
    <row r="376" spans="1:2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10"/>
      <c r="Y376" s="10"/>
      <c r="Z376" s="10"/>
    </row>
    <row r="377" spans="1:2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10"/>
      <c r="Y377" s="10"/>
      <c r="Z377" s="10"/>
    </row>
    <row r="378" spans="1:2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10"/>
      <c r="Y378" s="10"/>
      <c r="Z378" s="10"/>
    </row>
    <row r="379" spans="1:2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10"/>
      <c r="Y379" s="10"/>
      <c r="Z379" s="10"/>
    </row>
    <row r="380" spans="1:2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10"/>
      <c r="Y380" s="10"/>
      <c r="Z380" s="10"/>
    </row>
    <row r="381" spans="1:2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10"/>
      <c r="Y381" s="10"/>
      <c r="Z381" s="10"/>
    </row>
    <row r="382" spans="1:2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10"/>
      <c r="Y382" s="10"/>
      <c r="Z382" s="10"/>
    </row>
    <row r="383" spans="1:2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10"/>
      <c r="Y383" s="10"/>
      <c r="Z383" s="10"/>
    </row>
    <row r="384" spans="1:2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10"/>
      <c r="Y384" s="10"/>
      <c r="Z384" s="10"/>
    </row>
    <row r="385" spans="1:2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10"/>
      <c r="Y385" s="10"/>
      <c r="Z385" s="10"/>
    </row>
    <row r="386" spans="1:2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10"/>
      <c r="Y386" s="10"/>
      <c r="Z386" s="10"/>
    </row>
    <row r="387" spans="1:2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10"/>
      <c r="Y387" s="10"/>
      <c r="Z387" s="10"/>
    </row>
    <row r="388" spans="1:2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10"/>
      <c r="Y388" s="10"/>
      <c r="Z388" s="10"/>
    </row>
    <row r="389" spans="1:2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10"/>
      <c r="Y389" s="10"/>
      <c r="Z389" s="10"/>
    </row>
    <row r="390" spans="1:2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10"/>
      <c r="Y390" s="10"/>
      <c r="Z390" s="10"/>
    </row>
    <row r="391" spans="1:2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10"/>
      <c r="Y391" s="10"/>
      <c r="Z391" s="10"/>
    </row>
    <row r="392" spans="1:2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10"/>
      <c r="Y392" s="10"/>
      <c r="Z392" s="10"/>
    </row>
    <row r="393" spans="1:2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10"/>
      <c r="Y393" s="10"/>
      <c r="Z393" s="10"/>
    </row>
    <row r="394" spans="1:2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10"/>
      <c r="Y394" s="10"/>
      <c r="Z394" s="10"/>
    </row>
    <row r="395" spans="1:2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10"/>
      <c r="Y395" s="10"/>
      <c r="Z395" s="10"/>
    </row>
    <row r="396" spans="1:2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10"/>
      <c r="Y396" s="10"/>
      <c r="Z396" s="10"/>
    </row>
    <row r="397" spans="1:2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10"/>
      <c r="Y397" s="10"/>
      <c r="Z397" s="10"/>
    </row>
    <row r="398" spans="1:2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10"/>
      <c r="Y398" s="10"/>
      <c r="Z398" s="10"/>
    </row>
    <row r="399" spans="1:2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10"/>
      <c r="Y399" s="10"/>
      <c r="Z399" s="10"/>
    </row>
    <row r="400" spans="1:2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10"/>
      <c r="Y400" s="10"/>
      <c r="Z400" s="10"/>
    </row>
    <row r="401" spans="1:2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10"/>
      <c r="Y401" s="10"/>
      <c r="Z401" s="10"/>
    </row>
    <row r="402" spans="1:2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10"/>
      <c r="Y402" s="10"/>
      <c r="Z402" s="10"/>
    </row>
    <row r="403" spans="1:2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10"/>
      <c r="Y403" s="10"/>
      <c r="Z403" s="10"/>
    </row>
    <row r="404" spans="1:2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10"/>
      <c r="Y404" s="10"/>
      <c r="Z404" s="10"/>
    </row>
    <row r="405" spans="1:2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10"/>
      <c r="Y405" s="10"/>
      <c r="Z405" s="10"/>
    </row>
    <row r="406" spans="1:2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10"/>
      <c r="Y406" s="10"/>
      <c r="Z406" s="10"/>
    </row>
    <row r="407" spans="1:2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10"/>
      <c r="Y407" s="10"/>
      <c r="Z407" s="10"/>
    </row>
    <row r="408" spans="1:2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10"/>
      <c r="Y408" s="10"/>
      <c r="Z408" s="10"/>
    </row>
    <row r="409" spans="1:2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10"/>
      <c r="Y409" s="10"/>
      <c r="Z409" s="10"/>
    </row>
    <row r="410" spans="1:2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10"/>
      <c r="Y410" s="10"/>
      <c r="Z410" s="10"/>
    </row>
    <row r="411" spans="1:2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10"/>
      <c r="Y411" s="10"/>
      <c r="Z411" s="10"/>
    </row>
    <row r="412" spans="1:2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10"/>
      <c r="Y412" s="10"/>
      <c r="Z412" s="10"/>
    </row>
    <row r="413" spans="1:2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10"/>
      <c r="Y413" s="10"/>
      <c r="Z413" s="10"/>
    </row>
    <row r="414" spans="1:2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10"/>
      <c r="Y414" s="10"/>
      <c r="Z414" s="10"/>
    </row>
    <row r="415" spans="1:2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10"/>
      <c r="Y415" s="10"/>
      <c r="Z415" s="10"/>
    </row>
    <row r="416" spans="1:2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10"/>
      <c r="Y416" s="10"/>
      <c r="Z416" s="10"/>
    </row>
    <row r="417" spans="1:2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10"/>
      <c r="Y417" s="10"/>
      <c r="Z417" s="10"/>
    </row>
    <row r="418" spans="1:2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10"/>
      <c r="Y418" s="10"/>
      <c r="Z418" s="10"/>
    </row>
    <row r="419" spans="1:2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10"/>
      <c r="Y419" s="10"/>
      <c r="Z419" s="10"/>
    </row>
    <row r="420" spans="1:2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10"/>
      <c r="Y420" s="10"/>
      <c r="Z420" s="10"/>
    </row>
    <row r="421" spans="1:2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10"/>
      <c r="Y421" s="10"/>
      <c r="Z421" s="10"/>
    </row>
    <row r="422" spans="1:2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10"/>
      <c r="Y422" s="10"/>
      <c r="Z422" s="10"/>
    </row>
    <row r="423" spans="1:2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10"/>
      <c r="Y423" s="10"/>
      <c r="Z423" s="10"/>
    </row>
    <row r="424" spans="1:2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10"/>
      <c r="Y424" s="10"/>
      <c r="Z424" s="10"/>
    </row>
    <row r="425" spans="1:2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10"/>
      <c r="Y425" s="10"/>
      <c r="Z425" s="10"/>
    </row>
    <row r="426" spans="1:2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10"/>
      <c r="Y426" s="10"/>
      <c r="Z426" s="10"/>
    </row>
    <row r="427" spans="1:2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10"/>
      <c r="Y427" s="10"/>
      <c r="Z427" s="10"/>
    </row>
    <row r="428" spans="1:2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10"/>
      <c r="Y428" s="10"/>
      <c r="Z428" s="10"/>
    </row>
    <row r="429" spans="1:2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10"/>
      <c r="Y429" s="10"/>
      <c r="Z429" s="10"/>
    </row>
    <row r="430" spans="1:2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10"/>
      <c r="Y430" s="10"/>
      <c r="Z430" s="10"/>
    </row>
    <row r="431" spans="1:2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10"/>
      <c r="Y431" s="10"/>
      <c r="Z431" s="10"/>
    </row>
    <row r="432" spans="1:2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10"/>
      <c r="Y432" s="10"/>
      <c r="Z432" s="10"/>
    </row>
    <row r="433" spans="1:2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10"/>
      <c r="Y433" s="10"/>
      <c r="Z433" s="10"/>
    </row>
    <row r="434" spans="1:2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10"/>
      <c r="Y434" s="10"/>
      <c r="Z434" s="10"/>
    </row>
    <row r="435" spans="1:2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10"/>
      <c r="Y435" s="10"/>
      <c r="Z435" s="10"/>
    </row>
    <row r="436" spans="1:2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10"/>
      <c r="Y436" s="10"/>
      <c r="Z436" s="10"/>
    </row>
    <row r="437" spans="1:2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10"/>
      <c r="X437" s="10"/>
      <c r="Y437" s="10"/>
      <c r="Z437" s="10"/>
    </row>
    <row r="438" spans="1:2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0"/>
      <c r="X438" s="10"/>
      <c r="Y438" s="10"/>
      <c r="Z438" s="10"/>
    </row>
    <row r="439" spans="1:2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10"/>
      <c r="Y439" s="10"/>
      <c r="Z439" s="10"/>
    </row>
    <row r="440" spans="1:2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10"/>
      <c r="Y440" s="10"/>
      <c r="Z440" s="10"/>
    </row>
    <row r="441" spans="1:2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10"/>
      <c r="Y441" s="10"/>
      <c r="Z441" s="10"/>
    </row>
    <row r="442" spans="1:2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0"/>
      <c r="X442" s="10"/>
      <c r="Y442" s="10"/>
      <c r="Z442" s="10"/>
    </row>
    <row r="443" spans="1:2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10"/>
      <c r="Y443" s="10"/>
      <c r="Z443" s="10"/>
    </row>
    <row r="444" spans="1:2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10"/>
      <c r="Y444" s="10"/>
      <c r="Z444" s="10"/>
    </row>
    <row r="445" spans="1:2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10"/>
      <c r="Y445" s="10"/>
      <c r="Z445" s="10"/>
    </row>
    <row r="446" spans="1:2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10"/>
      <c r="Y446" s="10"/>
      <c r="Z446" s="10"/>
    </row>
    <row r="447" spans="1:2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10"/>
      <c r="Y447" s="10"/>
      <c r="Z447" s="10"/>
    </row>
    <row r="448" spans="1:2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  <c r="X448" s="10"/>
      <c r="Y448" s="10"/>
      <c r="Z448" s="10"/>
    </row>
    <row r="449" spans="1:2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10"/>
      <c r="Y449" s="10"/>
      <c r="Z449" s="10"/>
    </row>
    <row r="450" spans="1:2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10"/>
      <c r="Y450" s="10"/>
      <c r="Z450" s="10"/>
    </row>
    <row r="451" spans="1:2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10"/>
      <c r="Y451" s="10"/>
      <c r="Z451" s="10"/>
    </row>
    <row r="452" spans="1:2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0"/>
      <c r="X452" s="10"/>
      <c r="Y452" s="10"/>
      <c r="Z452" s="10"/>
    </row>
    <row r="453" spans="1:2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  <c r="X453" s="10"/>
      <c r="Y453" s="10"/>
      <c r="Z453" s="10"/>
    </row>
    <row r="454" spans="1:2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10"/>
      <c r="Y454" s="10"/>
      <c r="Z454" s="10"/>
    </row>
    <row r="455" spans="1:2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/>
      <c r="X455" s="10"/>
      <c r="Y455" s="10"/>
      <c r="Z455" s="10"/>
    </row>
    <row r="456" spans="1:2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0"/>
      <c r="X456" s="10"/>
      <c r="Y456" s="10"/>
      <c r="Z456" s="10"/>
    </row>
    <row r="457" spans="1:2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0"/>
      <c r="X457" s="10"/>
      <c r="Y457" s="10"/>
      <c r="Z457" s="10"/>
    </row>
    <row r="458" spans="1:2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0"/>
      <c r="X458" s="10"/>
      <c r="Y458" s="10"/>
      <c r="Z458" s="10"/>
    </row>
    <row r="459" spans="1:2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10"/>
      <c r="Y459" s="10"/>
      <c r="Z459" s="10"/>
    </row>
    <row r="460" spans="1:2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10"/>
      <c r="Y460" s="10"/>
      <c r="Z460" s="10"/>
    </row>
    <row r="461" spans="1:2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10"/>
      <c r="Y461" s="10"/>
      <c r="Z461" s="10"/>
    </row>
    <row r="462" spans="1:2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10"/>
      <c r="Y462" s="10"/>
      <c r="Z462" s="10"/>
    </row>
    <row r="463" spans="1:2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0"/>
      <c r="X463" s="10"/>
      <c r="Y463" s="10"/>
      <c r="Z463" s="10"/>
    </row>
    <row r="464" spans="1:2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10"/>
      <c r="Y464" s="10"/>
      <c r="Z464" s="10"/>
    </row>
    <row r="465" spans="1:2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10"/>
      <c r="Y465" s="10"/>
      <c r="Z465" s="10"/>
    </row>
    <row r="466" spans="1:2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10"/>
      <c r="Y466" s="10"/>
      <c r="Z466" s="10"/>
    </row>
    <row r="467" spans="1:2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10"/>
      <c r="Y467" s="10"/>
      <c r="Z467" s="10"/>
    </row>
    <row r="468" spans="1:2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10"/>
      <c r="Y468" s="10"/>
      <c r="Z468" s="10"/>
    </row>
    <row r="469" spans="1:2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10"/>
      <c r="Y469" s="10"/>
      <c r="Z469" s="10"/>
    </row>
    <row r="470" spans="1:2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0"/>
      <c r="X470" s="10"/>
      <c r="Y470" s="10"/>
      <c r="Z470" s="10"/>
    </row>
    <row r="471" spans="1:2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10"/>
      <c r="Y471" s="10"/>
      <c r="Z471" s="10"/>
    </row>
    <row r="472" spans="1:2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10"/>
      <c r="Y472" s="10"/>
      <c r="Z472" s="10"/>
    </row>
    <row r="473" spans="1:2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10"/>
      <c r="Y473" s="10"/>
      <c r="Z473" s="10"/>
    </row>
    <row r="474" spans="1:2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0"/>
      <c r="X474" s="10"/>
      <c r="Y474" s="10"/>
      <c r="Z474" s="10"/>
    </row>
    <row r="475" spans="1:2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10"/>
      <c r="Y475" s="10"/>
      <c r="Z475" s="10"/>
    </row>
    <row r="476" spans="1:2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0"/>
      <c r="X476" s="10"/>
      <c r="Y476" s="10"/>
      <c r="Z476" s="10"/>
    </row>
    <row r="477" spans="1:2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0"/>
      <c r="X477" s="10"/>
      <c r="Y477" s="10"/>
      <c r="Z477" s="10"/>
    </row>
    <row r="478" spans="1:2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0"/>
      <c r="X478" s="10"/>
      <c r="Y478" s="10"/>
      <c r="Z478" s="10"/>
    </row>
    <row r="479" spans="1:2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10"/>
      <c r="Y479" s="10"/>
      <c r="Z479" s="10"/>
    </row>
    <row r="480" spans="1:2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10"/>
      <c r="Y480" s="10"/>
      <c r="Z480" s="10"/>
    </row>
    <row r="481" spans="1:2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10"/>
      <c r="Y481" s="10"/>
      <c r="Z481" s="10"/>
    </row>
    <row r="482" spans="1:2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0"/>
      <c r="X482" s="10"/>
      <c r="Y482" s="10"/>
      <c r="Z482" s="10"/>
    </row>
    <row r="483" spans="1:2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/>
      <c r="X483" s="10"/>
      <c r="Y483" s="10"/>
      <c r="Z483" s="10"/>
    </row>
    <row r="484" spans="1:2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10"/>
      <c r="Y484" s="10"/>
      <c r="Z484" s="10"/>
    </row>
    <row r="485" spans="1:2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10"/>
      <c r="Y485" s="10"/>
      <c r="Z485" s="10"/>
    </row>
    <row r="486" spans="1:2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10"/>
      <c r="Y486" s="10"/>
      <c r="Z486" s="10"/>
    </row>
    <row r="487" spans="1:2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0"/>
      <c r="X487" s="10"/>
      <c r="Y487" s="10"/>
      <c r="Z487" s="10"/>
    </row>
    <row r="488" spans="1:2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0"/>
      <c r="X488" s="10"/>
      <c r="Y488" s="10"/>
      <c r="Z488" s="10"/>
    </row>
    <row r="489" spans="1:2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0"/>
      <c r="X489" s="10"/>
      <c r="Y489" s="10"/>
      <c r="Z489" s="10"/>
    </row>
    <row r="490" spans="1:2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10"/>
      <c r="Y490" s="10"/>
      <c r="Z490" s="10"/>
    </row>
    <row r="491" spans="1:2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10"/>
      <c r="Y491" s="10"/>
      <c r="Z491" s="10"/>
    </row>
    <row r="492" spans="1:2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10"/>
      <c r="Y492" s="10"/>
      <c r="Z492" s="10"/>
    </row>
    <row r="493" spans="1:2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10"/>
      <c r="Y493" s="10"/>
      <c r="Z493" s="10"/>
    </row>
    <row r="494" spans="1:2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10"/>
      <c r="Y494" s="10"/>
      <c r="Z494" s="10"/>
    </row>
    <row r="495" spans="1:2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10"/>
      <c r="Y495" s="10"/>
      <c r="Z495" s="10"/>
    </row>
    <row r="496" spans="1:2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10"/>
      <c r="Y496" s="10"/>
      <c r="Z496" s="10"/>
    </row>
    <row r="497" spans="1:2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10"/>
      <c r="Y497" s="10"/>
      <c r="Z497" s="10"/>
    </row>
    <row r="498" spans="1:2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10"/>
      <c r="Y498" s="10"/>
      <c r="Z498" s="10"/>
    </row>
    <row r="499" spans="1:2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10"/>
      <c r="Y499" s="10"/>
      <c r="Z499" s="10"/>
    </row>
    <row r="500" spans="1:2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10"/>
      <c r="Y500" s="10"/>
      <c r="Z500" s="10"/>
    </row>
    <row r="501" spans="1:2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10"/>
      <c r="Y501" s="10"/>
      <c r="Z501" s="10"/>
    </row>
    <row r="502" spans="1:2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0"/>
      <c r="X502" s="10"/>
      <c r="Y502" s="10"/>
      <c r="Z502" s="10"/>
    </row>
    <row r="503" spans="1:2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10"/>
      <c r="Y503" s="10"/>
      <c r="Z503" s="10"/>
    </row>
    <row r="504" spans="1:2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10"/>
      <c r="Y504" s="10"/>
      <c r="Z504" s="10"/>
    </row>
    <row r="505" spans="1:2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10"/>
      <c r="Y505" s="10"/>
      <c r="Z505" s="10"/>
    </row>
    <row r="506" spans="1:2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10"/>
      <c r="Y506" s="10"/>
      <c r="Z506" s="10"/>
    </row>
    <row r="507" spans="1:2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0"/>
      <c r="X507" s="10"/>
      <c r="Y507" s="10"/>
      <c r="Z507" s="10"/>
    </row>
    <row r="508" spans="1:2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0"/>
      <c r="X508" s="10"/>
      <c r="Y508" s="10"/>
      <c r="Z508" s="10"/>
    </row>
    <row r="509" spans="1:2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10"/>
      <c r="Y509" s="10"/>
      <c r="Z509" s="10"/>
    </row>
    <row r="510" spans="1:2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10"/>
      <c r="Y510" s="10"/>
      <c r="Z510" s="10"/>
    </row>
    <row r="511" spans="1:2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10"/>
      <c r="Y511" s="10"/>
      <c r="Z511" s="10"/>
    </row>
    <row r="512" spans="1:2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10"/>
      <c r="Y512" s="10"/>
      <c r="Z512" s="10"/>
    </row>
    <row r="513" spans="1:2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10"/>
      <c r="X513" s="10"/>
      <c r="Y513" s="10"/>
      <c r="Z513" s="10"/>
    </row>
    <row r="514" spans="1:2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0"/>
      <c r="X514" s="10"/>
      <c r="Y514" s="10"/>
      <c r="Z514" s="10"/>
    </row>
    <row r="515" spans="1:2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/>
      <c r="X515" s="10"/>
      <c r="Y515" s="10"/>
      <c r="Z515" s="10"/>
    </row>
    <row r="516" spans="1:2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10"/>
      <c r="Y516" s="10"/>
      <c r="Z516" s="10"/>
    </row>
    <row r="517" spans="1:2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0"/>
      <c r="X517" s="10"/>
      <c r="Y517" s="10"/>
      <c r="Z517" s="10"/>
    </row>
    <row r="518" spans="1:2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0"/>
      <c r="X518" s="10"/>
      <c r="Y518" s="10"/>
      <c r="Z518" s="10"/>
    </row>
    <row r="519" spans="1:2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10"/>
      <c r="Y519" s="10"/>
      <c r="Z519" s="10"/>
    </row>
    <row r="520" spans="1:2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10"/>
      <c r="Y520" s="10"/>
      <c r="Z520" s="10"/>
    </row>
    <row r="521" spans="1:2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0"/>
      <c r="X521" s="10"/>
      <c r="Y521" s="10"/>
      <c r="Z521" s="10"/>
    </row>
    <row r="522" spans="1:2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10"/>
      <c r="Y522" s="10"/>
      <c r="Z522" s="10"/>
    </row>
    <row r="523" spans="1:2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10"/>
      <c r="Y523" s="10"/>
      <c r="Z523" s="10"/>
    </row>
    <row r="524" spans="1:2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10"/>
      <c r="Y524" s="10"/>
      <c r="Z524" s="10"/>
    </row>
    <row r="525" spans="1:2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10"/>
      <c r="Y525" s="10"/>
      <c r="Z525" s="10"/>
    </row>
    <row r="526" spans="1:2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10"/>
      <c r="Y526" s="10"/>
      <c r="Z526" s="10"/>
    </row>
    <row r="527" spans="1:2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0"/>
      <c r="X527" s="10"/>
      <c r="Y527" s="10"/>
      <c r="Z527" s="10"/>
    </row>
    <row r="528" spans="1:2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0"/>
      <c r="X528" s="10"/>
      <c r="Y528" s="10"/>
      <c r="Z528" s="10"/>
    </row>
    <row r="529" spans="1:2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10"/>
      <c r="Y529" s="10"/>
      <c r="Z529" s="10"/>
    </row>
    <row r="530" spans="1:2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10"/>
      <c r="Y530" s="10"/>
      <c r="Z530" s="10"/>
    </row>
    <row r="531" spans="1:2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0"/>
      <c r="X531" s="10"/>
      <c r="Y531" s="10"/>
      <c r="Z531" s="10"/>
    </row>
    <row r="532" spans="1:2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0"/>
      <c r="X532" s="10"/>
      <c r="Y532" s="10"/>
      <c r="Z532" s="10"/>
    </row>
    <row r="533" spans="1:2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0"/>
      <c r="X533" s="10"/>
      <c r="Y533" s="10"/>
      <c r="Z533" s="10"/>
    </row>
    <row r="534" spans="1:2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10"/>
      <c r="Y534" s="10"/>
      <c r="Z534" s="10"/>
    </row>
    <row r="535" spans="1:2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10"/>
      <c r="Y535" s="10"/>
      <c r="Z535" s="10"/>
    </row>
    <row r="536" spans="1:2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10"/>
      <c r="Y536" s="10"/>
      <c r="Z536" s="10"/>
    </row>
    <row r="537" spans="1:2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  <c r="X537" s="10"/>
      <c r="Y537" s="10"/>
      <c r="Z537" s="10"/>
    </row>
    <row r="538" spans="1:2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/>
      <c r="X538" s="10"/>
      <c r="Y538" s="10"/>
      <c r="Z538" s="10"/>
    </row>
    <row r="539" spans="1:2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0"/>
      <c r="X539" s="10"/>
      <c r="Y539" s="10"/>
      <c r="Z539" s="10"/>
    </row>
    <row r="540" spans="1:2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10"/>
      <c r="Y540" s="10"/>
      <c r="Z540" s="10"/>
    </row>
    <row r="541" spans="1:2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10"/>
      <c r="Y541" s="10"/>
      <c r="Z541" s="10"/>
    </row>
    <row r="542" spans="1:2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0"/>
      <c r="X542" s="10"/>
      <c r="Y542" s="10"/>
      <c r="Z542" s="10"/>
    </row>
    <row r="543" spans="1:2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10"/>
      <c r="X543" s="10"/>
      <c r="Y543" s="10"/>
      <c r="Z543" s="10"/>
    </row>
    <row r="544" spans="1:2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0"/>
      <c r="X544" s="10"/>
      <c r="Y544" s="10"/>
      <c r="Z544" s="10"/>
    </row>
    <row r="545" spans="1:2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0"/>
      <c r="X545" s="10"/>
      <c r="Y545" s="10"/>
      <c r="Z545" s="10"/>
    </row>
    <row r="546" spans="1:2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0"/>
      <c r="X546" s="10"/>
      <c r="Y546" s="10"/>
      <c r="Z546" s="10"/>
    </row>
    <row r="547" spans="1:2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10"/>
      <c r="X547" s="10"/>
      <c r="Y547" s="10"/>
      <c r="Z547" s="10"/>
    </row>
    <row r="548" spans="1:2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10"/>
      <c r="X548" s="10"/>
      <c r="Y548" s="10"/>
      <c r="Z548" s="10"/>
    </row>
    <row r="549" spans="1:2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10"/>
      <c r="Y549" s="10"/>
      <c r="Z549" s="10"/>
    </row>
    <row r="550" spans="1:2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10"/>
      <c r="Y550" s="10"/>
      <c r="Z550" s="10"/>
    </row>
    <row r="551" spans="1:2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0"/>
      <c r="X551" s="10"/>
      <c r="Y551" s="10"/>
      <c r="Z551" s="10"/>
    </row>
    <row r="552" spans="1:2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10"/>
      <c r="X552" s="10"/>
      <c r="Y552" s="10"/>
      <c r="Z552" s="10"/>
    </row>
    <row r="553" spans="1:2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10"/>
      <c r="X553" s="10"/>
      <c r="Y553" s="10"/>
      <c r="Z553" s="10"/>
    </row>
    <row r="554" spans="1:2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0"/>
      <c r="X554" s="10"/>
      <c r="Y554" s="10"/>
      <c r="Z554" s="10"/>
    </row>
    <row r="555" spans="1:2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0"/>
      <c r="X555" s="10"/>
      <c r="Y555" s="10"/>
      <c r="Z555" s="10"/>
    </row>
    <row r="556" spans="1:2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0"/>
      <c r="X556" s="10"/>
      <c r="Y556" s="10"/>
      <c r="Z556" s="10"/>
    </row>
    <row r="557" spans="1:2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10"/>
      <c r="X557" s="10"/>
      <c r="Y557" s="10"/>
      <c r="Z557" s="10"/>
    </row>
    <row r="558" spans="1:2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10"/>
      <c r="X558" s="10"/>
      <c r="Y558" s="10"/>
      <c r="Z558" s="10"/>
    </row>
    <row r="559" spans="1:2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10"/>
      <c r="Y559" s="10"/>
      <c r="Z559" s="10"/>
    </row>
    <row r="560" spans="1:2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10"/>
      <c r="Y560" s="10"/>
      <c r="Z560" s="10"/>
    </row>
    <row r="561" spans="1:2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0"/>
      <c r="X561" s="10"/>
      <c r="Y561" s="10"/>
      <c r="Z561" s="10"/>
    </row>
    <row r="562" spans="1:2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0"/>
      <c r="X562" s="10"/>
      <c r="Y562" s="10"/>
      <c r="Z562" s="10"/>
    </row>
    <row r="563" spans="1:2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10"/>
      <c r="Y563" s="10"/>
      <c r="Z563" s="10"/>
    </row>
    <row r="564" spans="1:2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10"/>
      <c r="Y564" s="10"/>
      <c r="Z564" s="10"/>
    </row>
    <row r="565" spans="1:2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10"/>
      <c r="Y565" s="10"/>
      <c r="Z565" s="10"/>
    </row>
    <row r="566" spans="1:2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10"/>
      <c r="Y566" s="10"/>
      <c r="Z566" s="10"/>
    </row>
    <row r="567" spans="1:2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  <c r="X567" s="10"/>
      <c r="Y567" s="10"/>
      <c r="Z567" s="10"/>
    </row>
    <row r="568" spans="1:2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10"/>
      <c r="Y568" s="10"/>
      <c r="Z568" s="10"/>
    </row>
    <row r="569" spans="1:2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10"/>
      <c r="Y569" s="10"/>
      <c r="Z569" s="10"/>
    </row>
    <row r="570" spans="1:2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0"/>
      <c r="X570" s="10"/>
      <c r="Y570" s="10"/>
      <c r="Z570" s="10"/>
    </row>
    <row r="571" spans="1:2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10"/>
      <c r="Y571" s="10"/>
      <c r="Z571" s="10"/>
    </row>
    <row r="572" spans="1:2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10"/>
      <c r="X572" s="10"/>
      <c r="Y572" s="10"/>
      <c r="Z572" s="10"/>
    </row>
    <row r="573" spans="1:2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0"/>
      <c r="X573" s="10"/>
      <c r="Y573" s="10"/>
      <c r="Z573" s="10"/>
    </row>
    <row r="574" spans="1:2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10"/>
      <c r="X574" s="10"/>
      <c r="Y574" s="10"/>
      <c r="Z574" s="10"/>
    </row>
    <row r="575" spans="1:2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10"/>
      <c r="X575" s="10"/>
      <c r="Y575" s="10"/>
      <c r="Z575" s="10"/>
    </row>
    <row r="576" spans="1:2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10"/>
      <c r="Y576" s="10"/>
      <c r="Z576" s="10"/>
    </row>
    <row r="577" spans="1:2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0"/>
      <c r="X577" s="10"/>
      <c r="Y577" s="10"/>
      <c r="Z577" s="10"/>
    </row>
    <row r="578" spans="1:2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10"/>
      <c r="Y578" s="10"/>
      <c r="Z578" s="10"/>
    </row>
    <row r="579" spans="1:2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10"/>
      <c r="Y579" s="10"/>
      <c r="Z579" s="10"/>
    </row>
    <row r="580" spans="1:2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10"/>
      <c r="Y580" s="10"/>
      <c r="Z580" s="10"/>
    </row>
    <row r="581" spans="1:2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10"/>
      <c r="Y581" s="10"/>
      <c r="Z581" s="10"/>
    </row>
    <row r="582" spans="1:2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10"/>
      <c r="Y582" s="10"/>
      <c r="Z582" s="10"/>
    </row>
    <row r="583" spans="1:2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0"/>
      <c r="X583" s="10"/>
      <c r="Y583" s="10"/>
      <c r="Z583" s="10"/>
    </row>
    <row r="584" spans="1:2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10"/>
      <c r="Y584" s="10"/>
      <c r="Z584" s="10"/>
    </row>
    <row r="585" spans="1:2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10"/>
      <c r="Y585" s="10"/>
      <c r="Z585" s="10"/>
    </row>
    <row r="586" spans="1:2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10"/>
      <c r="Y586" s="10"/>
      <c r="Z586" s="10"/>
    </row>
    <row r="587" spans="1:2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10"/>
      <c r="Y587" s="10"/>
      <c r="Z587" s="10"/>
    </row>
    <row r="588" spans="1:2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0"/>
      <c r="X588" s="10"/>
      <c r="Y588" s="10"/>
      <c r="Z588" s="10"/>
    </row>
    <row r="589" spans="1:2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10"/>
      <c r="Y589" s="10"/>
      <c r="Z589" s="10"/>
    </row>
    <row r="590" spans="1:2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10"/>
      <c r="Y590" s="10"/>
      <c r="Z590" s="10"/>
    </row>
    <row r="591" spans="1:2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10"/>
      <c r="Y591" s="10"/>
      <c r="Z591" s="10"/>
    </row>
    <row r="592" spans="1:2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0"/>
      <c r="X592" s="10"/>
      <c r="Y592" s="10"/>
      <c r="Z592" s="10"/>
    </row>
    <row r="593" spans="1:2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0"/>
      <c r="X593" s="10"/>
      <c r="Y593" s="10"/>
      <c r="Z593" s="10"/>
    </row>
    <row r="594" spans="1:2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10"/>
      <c r="Y594" s="10"/>
      <c r="Z594" s="10"/>
    </row>
    <row r="595" spans="1:2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10"/>
      <c r="Y595" s="10"/>
      <c r="Z595" s="10"/>
    </row>
    <row r="596" spans="1:2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10"/>
      <c r="Y596" s="10"/>
      <c r="Z596" s="10"/>
    </row>
    <row r="597" spans="1:2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0"/>
      <c r="X597" s="10"/>
      <c r="Y597" s="10"/>
      <c r="Z597" s="10"/>
    </row>
    <row r="598" spans="1:2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10"/>
      <c r="Y598" s="10"/>
      <c r="Z598" s="10"/>
    </row>
    <row r="599" spans="1:2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10"/>
      <c r="Y599" s="10"/>
      <c r="Z599" s="10"/>
    </row>
    <row r="600" spans="1:2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10"/>
      <c r="Y600" s="10"/>
      <c r="Z600" s="10"/>
    </row>
    <row r="601" spans="1:2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10"/>
      <c r="Y601" s="10"/>
      <c r="Z601" s="10"/>
    </row>
    <row r="602" spans="1:2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0"/>
      <c r="X602" s="10"/>
      <c r="Y602" s="10"/>
      <c r="Z602" s="10"/>
    </row>
    <row r="603" spans="1:2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10"/>
      <c r="Y603" s="10"/>
      <c r="Z603" s="10"/>
    </row>
    <row r="604" spans="1:2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10"/>
      <c r="Y604" s="10"/>
      <c r="Z604" s="10"/>
    </row>
    <row r="605" spans="1:2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10"/>
      <c r="Y605" s="10"/>
      <c r="Z605" s="10"/>
    </row>
    <row r="606" spans="1:2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10"/>
      <c r="Y606" s="10"/>
      <c r="Z606" s="10"/>
    </row>
    <row r="607" spans="1:2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0"/>
      <c r="X607" s="10"/>
      <c r="Y607" s="10"/>
      <c r="Z607" s="10"/>
    </row>
    <row r="608" spans="1:2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0"/>
      <c r="X608" s="10"/>
      <c r="Y608" s="10"/>
      <c r="Z608" s="10"/>
    </row>
    <row r="609" spans="1:2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10"/>
      <c r="Y609" s="10"/>
      <c r="Z609" s="10"/>
    </row>
    <row r="610" spans="1:2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10"/>
      <c r="Y610" s="10"/>
      <c r="Z610" s="10"/>
    </row>
    <row r="611" spans="1:2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10"/>
      <c r="Y611" s="10"/>
      <c r="Z611" s="10"/>
    </row>
    <row r="612" spans="1:2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0"/>
      <c r="X612" s="10"/>
      <c r="Y612" s="10"/>
      <c r="Z612" s="10"/>
    </row>
    <row r="613" spans="1:2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0"/>
      <c r="X613" s="10"/>
      <c r="Y613" s="10"/>
      <c r="Z613" s="10"/>
    </row>
    <row r="614" spans="1:2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10"/>
      <c r="Y614" s="10"/>
      <c r="Z614" s="10"/>
    </row>
    <row r="615" spans="1:2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10"/>
      <c r="Y615" s="10"/>
      <c r="Z615" s="10"/>
    </row>
    <row r="616" spans="1:2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10"/>
      <c r="Y616" s="10"/>
      <c r="Z616" s="10"/>
    </row>
    <row r="617" spans="1:2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10"/>
      <c r="Y617" s="10"/>
      <c r="Z617" s="10"/>
    </row>
    <row r="618" spans="1:2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0"/>
      <c r="X618" s="10"/>
      <c r="Y618" s="10"/>
      <c r="Z618" s="10"/>
    </row>
    <row r="619" spans="1:2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10"/>
      <c r="Y619" s="10"/>
      <c r="Z619" s="10"/>
    </row>
    <row r="620" spans="1:2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10"/>
      <c r="Y620" s="10"/>
      <c r="Z620" s="10"/>
    </row>
    <row r="621" spans="1:2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10"/>
      <c r="Y621" s="10"/>
      <c r="Z621" s="10"/>
    </row>
    <row r="622" spans="1:2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10"/>
      <c r="Y622" s="10"/>
      <c r="Z622" s="10"/>
    </row>
    <row r="623" spans="1:2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10"/>
      <c r="Y623" s="10"/>
      <c r="Z623" s="10"/>
    </row>
    <row r="624" spans="1:2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10"/>
      <c r="Y624" s="10"/>
      <c r="Z624" s="10"/>
    </row>
    <row r="625" spans="1:2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10"/>
      <c r="Y625" s="10"/>
      <c r="Z625" s="10"/>
    </row>
    <row r="626" spans="1:2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10"/>
      <c r="Y626" s="10"/>
      <c r="Z626" s="10"/>
    </row>
    <row r="627" spans="1:2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10"/>
      <c r="Y627" s="10"/>
      <c r="Z627" s="10"/>
    </row>
    <row r="628" spans="1:2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10"/>
      <c r="Y628" s="10"/>
      <c r="Z628" s="10"/>
    </row>
    <row r="629" spans="1:2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10"/>
      <c r="Y629" s="10"/>
      <c r="Z629" s="10"/>
    </row>
    <row r="630" spans="1:2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0"/>
      <c r="X630" s="10"/>
      <c r="Y630" s="10"/>
      <c r="Z630" s="10"/>
    </row>
    <row r="631" spans="1:2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10"/>
      <c r="Y631" s="10"/>
      <c r="Z631" s="10"/>
    </row>
    <row r="632" spans="1:2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0"/>
      <c r="X632" s="10"/>
      <c r="Y632" s="10"/>
      <c r="Z632" s="10"/>
    </row>
    <row r="633" spans="1:2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10"/>
      <c r="Y633" s="10"/>
      <c r="Z633" s="10"/>
    </row>
    <row r="634" spans="1:2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10"/>
      <c r="Y634" s="10"/>
      <c r="Z634" s="10"/>
    </row>
    <row r="635" spans="1:2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10"/>
      <c r="Y635" s="10"/>
      <c r="Z635" s="10"/>
    </row>
    <row r="636" spans="1:2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/>
      <c r="X636" s="10"/>
      <c r="Y636" s="10"/>
      <c r="Z636" s="10"/>
    </row>
    <row r="637" spans="1:2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0"/>
      <c r="X637" s="10"/>
      <c r="Y637" s="10"/>
      <c r="Z637" s="10"/>
    </row>
    <row r="638" spans="1:2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0"/>
      <c r="X638" s="10"/>
      <c r="Y638" s="10"/>
      <c r="Z638" s="10"/>
    </row>
    <row r="639" spans="1:2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10"/>
      <c r="Y639" s="10"/>
      <c r="Z639" s="10"/>
    </row>
    <row r="640" spans="1:2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0"/>
      <c r="X640" s="10"/>
      <c r="Y640" s="10"/>
      <c r="Z640" s="10"/>
    </row>
    <row r="641" spans="1:2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0"/>
      <c r="X641" s="10"/>
      <c r="Y641" s="10"/>
      <c r="Z641" s="10"/>
    </row>
    <row r="642" spans="1:2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10"/>
      <c r="X642" s="10"/>
      <c r="Y642" s="10"/>
      <c r="Z642" s="10"/>
    </row>
    <row r="643" spans="1:2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10"/>
      <c r="X643" s="10"/>
      <c r="Y643" s="10"/>
      <c r="Z643" s="10"/>
    </row>
    <row r="644" spans="1:2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0"/>
      <c r="X644" s="10"/>
      <c r="Y644" s="10"/>
      <c r="Z644" s="10"/>
    </row>
    <row r="645" spans="1:2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10"/>
      <c r="Y645" s="10"/>
      <c r="Z645" s="10"/>
    </row>
    <row r="646" spans="1:2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10"/>
      <c r="Y646" s="10"/>
      <c r="Z646" s="10"/>
    </row>
    <row r="647" spans="1:2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/>
      <c r="X647" s="10"/>
      <c r="Y647" s="10"/>
      <c r="Z647" s="10"/>
    </row>
    <row r="648" spans="1:2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0"/>
      <c r="X648" s="10"/>
      <c r="Y648" s="10"/>
      <c r="Z648" s="10"/>
    </row>
    <row r="649" spans="1:2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0"/>
      <c r="X649" s="10"/>
      <c r="Y649" s="10"/>
      <c r="Z649" s="10"/>
    </row>
    <row r="650" spans="1:2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0"/>
      <c r="X650" s="10"/>
      <c r="Y650" s="10"/>
      <c r="Z650" s="10"/>
    </row>
    <row r="651" spans="1:2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10"/>
      <c r="Y651" s="10"/>
      <c r="Z651" s="10"/>
    </row>
    <row r="652" spans="1:2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0"/>
      <c r="X652" s="10"/>
      <c r="Y652" s="10"/>
      <c r="Z652" s="10"/>
    </row>
    <row r="653" spans="1:2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0"/>
      <c r="X653" s="10"/>
      <c r="Y653" s="10"/>
      <c r="Z653" s="10"/>
    </row>
    <row r="654" spans="1:2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0"/>
      <c r="X654" s="10"/>
      <c r="Y654" s="10"/>
      <c r="Z654" s="10"/>
    </row>
    <row r="655" spans="1:2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0"/>
      <c r="X655" s="10"/>
      <c r="Y655" s="10"/>
      <c r="Z655" s="10"/>
    </row>
    <row r="656" spans="1:2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  <c r="X656" s="10"/>
      <c r="Y656" s="10"/>
      <c r="Z656" s="10"/>
    </row>
    <row r="657" spans="1:2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/>
      <c r="X657" s="10"/>
      <c r="Y657" s="10"/>
      <c r="Z657" s="10"/>
    </row>
    <row r="658" spans="1:2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/>
      <c r="X658" s="10"/>
      <c r="Y658" s="10"/>
      <c r="Z658" s="10"/>
    </row>
    <row r="659" spans="1:2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10"/>
      <c r="Y659" s="10"/>
      <c r="Z659" s="10"/>
    </row>
    <row r="660" spans="1:2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0"/>
      <c r="X660" s="10"/>
      <c r="Y660" s="10"/>
      <c r="Z660" s="10"/>
    </row>
    <row r="661" spans="1:2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0"/>
      <c r="X661" s="10"/>
      <c r="Y661" s="10"/>
      <c r="Z661" s="10"/>
    </row>
    <row r="662" spans="1:2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10"/>
      <c r="X662" s="10"/>
      <c r="Y662" s="10"/>
      <c r="Z662" s="10"/>
    </row>
    <row r="663" spans="1:2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/>
      <c r="X663" s="10"/>
      <c r="Y663" s="10"/>
      <c r="Z663" s="10"/>
    </row>
    <row r="664" spans="1:2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10"/>
      <c r="Y664" s="10"/>
      <c r="Z664" s="10"/>
    </row>
    <row r="665" spans="1:2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10"/>
      <c r="Y665" s="10"/>
      <c r="Z665" s="10"/>
    </row>
    <row r="666" spans="1:2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0"/>
      <c r="X666" s="10"/>
      <c r="Y666" s="10"/>
      <c r="Z666" s="10"/>
    </row>
    <row r="667" spans="1:2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0"/>
      <c r="X667" s="10"/>
      <c r="Y667" s="10"/>
      <c r="Z667" s="10"/>
    </row>
    <row r="668" spans="1:2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0"/>
      <c r="X668" s="10"/>
      <c r="Y668" s="10"/>
      <c r="Z668" s="10"/>
    </row>
    <row r="669" spans="1:2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10"/>
      <c r="Y669" s="10"/>
      <c r="Z669" s="10"/>
    </row>
    <row r="670" spans="1:2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10"/>
      <c r="Y670" s="10"/>
      <c r="Z670" s="10"/>
    </row>
    <row r="671" spans="1:2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10"/>
      <c r="Y671" s="10"/>
      <c r="Z671" s="10"/>
    </row>
    <row r="672" spans="1:2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10"/>
      <c r="X672" s="10"/>
      <c r="Y672" s="10"/>
      <c r="Z672" s="10"/>
    </row>
    <row r="673" spans="1:2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10"/>
      <c r="X673" s="10"/>
      <c r="Y673" s="10"/>
      <c r="Z673" s="10"/>
    </row>
    <row r="674" spans="1:2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0"/>
      <c r="X674" s="10"/>
      <c r="Y674" s="10"/>
      <c r="Z674" s="10"/>
    </row>
    <row r="675" spans="1:2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10"/>
      <c r="Y675" s="10"/>
      <c r="Z675" s="10"/>
    </row>
    <row r="676" spans="1:2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10"/>
      <c r="Y676" s="10"/>
      <c r="Z676" s="10"/>
    </row>
    <row r="677" spans="1:2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0"/>
      <c r="X677" s="10"/>
      <c r="Y677" s="10"/>
      <c r="Z677" s="10"/>
    </row>
    <row r="678" spans="1:2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10"/>
      <c r="X678" s="10"/>
      <c r="Y678" s="10"/>
      <c r="Z678" s="10"/>
    </row>
    <row r="679" spans="1:2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0"/>
      <c r="X679" s="10"/>
      <c r="Y679" s="10"/>
      <c r="Z679" s="10"/>
    </row>
    <row r="680" spans="1:2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/>
      <c r="X680" s="10"/>
      <c r="Y680" s="10"/>
      <c r="Z680" s="10"/>
    </row>
    <row r="681" spans="1:2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10"/>
      <c r="Y681" s="10"/>
      <c r="Z681" s="10"/>
    </row>
    <row r="682" spans="1:2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0"/>
      <c r="X682" s="10"/>
      <c r="Y682" s="10"/>
      <c r="Z682" s="10"/>
    </row>
    <row r="683" spans="1:2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0"/>
      <c r="X683" s="10"/>
      <c r="Y683" s="10"/>
      <c r="Z683" s="10"/>
    </row>
    <row r="684" spans="1:2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10"/>
      <c r="Y684" s="10"/>
      <c r="Z684" s="10"/>
    </row>
    <row r="685" spans="1:2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10"/>
      <c r="Y685" s="10"/>
      <c r="Z685" s="10"/>
    </row>
    <row r="686" spans="1:2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10"/>
      <c r="Y686" s="10"/>
      <c r="Z686" s="10"/>
    </row>
    <row r="687" spans="1:2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0"/>
      <c r="X687" s="10"/>
      <c r="Y687" s="10"/>
      <c r="Z687" s="10"/>
    </row>
    <row r="688" spans="1:2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0"/>
      <c r="X688" s="10"/>
      <c r="Y688" s="10"/>
      <c r="Z688" s="10"/>
    </row>
    <row r="689" spans="1:2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10"/>
      <c r="Y689" s="10"/>
      <c r="Z689" s="10"/>
    </row>
    <row r="690" spans="1:2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10"/>
      <c r="Y690" s="10"/>
      <c r="Z690" s="10"/>
    </row>
    <row r="691" spans="1:2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10"/>
      <c r="Y691" s="10"/>
      <c r="Z691" s="10"/>
    </row>
    <row r="692" spans="1:2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0"/>
      <c r="X692" s="10"/>
      <c r="Y692" s="10"/>
      <c r="Z692" s="10"/>
    </row>
    <row r="693" spans="1:2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0"/>
      <c r="X693" s="10"/>
      <c r="Y693" s="10"/>
      <c r="Z693" s="10"/>
    </row>
    <row r="694" spans="1:2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10"/>
      <c r="Y694" s="10"/>
      <c r="Z694" s="10"/>
    </row>
    <row r="695" spans="1:2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10"/>
      <c r="Y695" s="10"/>
      <c r="Z695" s="10"/>
    </row>
    <row r="696" spans="1:2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10"/>
      <c r="Y696" s="10"/>
      <c r="Z696" s="10"/>
    </row>
    <row r="697" spans="1:2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0"/>
      <c r="X697" s="10"/>
      <c r="Y697" s="10"/>
      <c r="Z697" s="10"/>
    </row>
    <row r="698" spans="1:2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0"/>
      <c r="X698" s="10"/>
      <c r="Y698" s="10"/>
      <c r="Z698" s="10"/>
    </row>
    <row r="699" spans="1:2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10"/>
      <c r="Y699" s="10"/>
      <c r="Z699" s="10"/>
    </row>
    <row r="700" spans="1:2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0"/>
      <c r="X700" s="10"/>
      <c r="Y700" s="10"/>
      <c r="Z700" s="10"/>
    </row>
    <row r="701" spans="1:2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0"/>
      <c r="X701" s="10"/>
      <c r="Y701" s="10"/>
      <c r="Z701" s="10"/>
    </row>
    <row r="702" spans="1:2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10"/>
      <c r="X702" s="10"/>
      <c r="Y702" s="10"/>
      <c r="Z702" s="10"/>
    </row>
    <row r="703" spans="1:2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10"/>
      <c r="X703" s="10"/>
      <c r="Y703" s="10"/>
      <c r="Z703" s="10"/>
    </row>
    <row r="704" spans="1:2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0"/>
      <c r="X704" s="10"/>
      <c r="Y704" s="10"/>
      <c r="Z704" s="10"/>
    </row>
    <row r="705" spans="1:2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10"/>
      <c r="Y705" s="10"/>
      <c r="Z705" s="10"/>
    </row>
    <row r="706" spans="1:2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10"/>
      <c r="Y706" s="10"/>
      <c r="Z706" s="10"/>
    </row>
    <row r="707" spans="1:2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0"/>
      <c r="X707" s="10"/>
      <c r="Y707" s="10"/>
      <c r="Z707" s="10"/>
    </row>
    <row r="708" spans="1:2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0"/>
      <c r="X708" s="10"/>
      <c r="Y708" s="10"/>
      <c r="Z708" s="10"/>
    </row>
    <row r="709" spans="1:2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0"/>
      <c r="X709" s="10"/>
      <c r="Y709" s="10"/>
      <c r="Z709" s="10"/>
    </row>
    <row r="710" spans="1:2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0"/>
      <c r="X710" s="10"/>
      <c r="Y710" s="10"/>
      <c r="Z710" s="10"/>
    </row>
    <row r="711" spans="1:2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0"/>
      <c r="X711" s="10"/>
      <c r="Y711" s="10"/>
      <c r="Z711" s="10"/>
    </row>
    <row r="712" spans="1:2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0"/>
      <c r="X712" s="10"/>
      <c r="Y712" s="10"/>
      <c r="Z712" s="10"/>
    </row>
    <row r="713" spans="1:2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10"/>
      <c r="X713" s="10"/>
      <c r="Y713" s="10"/>
      <c r="Z713" s="10"/>
    </row>
    <row r="714" spans="1:2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10"/>
      <c r="Y714" s="10"/>
      <c r="Z714" s="10"/>
    </row>
    <row r="715" spans="1:2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10"/>
      <c r="Y715" s="10"/>
      <c r="Z715" s="10"/>
    </row>
    <row r="716" spans="1:2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10"/>
      <c r="Y716" s="10"/>
      <c r="Z716" s="10"/>
    </row>
    <row r="717" spans="1:2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10"/>
      <c r="X717" s="10"/>
      <c r="Y717" s="10"/>
      <c r="Z717" s="10"/>
    </row>
    <row r="718" spans="1:2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0"/>
      <c r="X718" s="10"/>
      <c r="Y718" s="10"/>
      <c r="Z718" s="10"/>
    </row>
    <row r="719" spans="1:2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10"/>
      <c r="Y719" s="10"/>
      <c r="Z719" s="10"/>
    </row>
    <row r="720" spans="1:2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10"/>
      <c r="Y720" s="10"/>
      <c r="Z720" s="10"/>
    </row>
    <row r="721" spans="1:2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10"/>
      <c r="Y721" s="10"/>
      <c r="Z721" s="10"/>
    </row>
    <row r="722" spans="1:2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10"/>
      <c r="X722" s="10"/>
      <c r="Y722" s="10"/>
      <c r="Z722" s="10"/>
    </row>
    <row r="723" spans="1:2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0"/>
      <c r="X723" s="10"/>
      <c r="Y723" s="10"/>
      <c r="Z723" s="10"/>
    </row>
    <row r="724" spans="1:2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10"/>
      <c r="Y724" s="10"/>
      <c r="Z724" s="10"/>
    </row>
    <row r="725" spans="1:2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10"/>
      <c r="Y725" s="10"/>
      <c r="Z725" s="10"/>
    </row>
    <row r="726" spans="1:2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10"/>
      <c r="Y726" s="10"/>
      <c r="Z726" s="10"/>
    </row>
    <row r="727" spans="1:2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10"/>
      <c r="X727" s="10"/>
      <c r="Y727" s="10"/>
      <c r="Z727" s="10"/>
    </row>
    <row r="728" spans="1:2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0"/>
      <c r="X728" s="10"/>
      <c r="Y728" s="10"/>
      <c r="Z728" s="10"/>
    </row>
    <row r="729" spans="1:2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0"/>
      <c r="X729" s="10"/>
      <c r="Y729" s="10"/>
      <c r="Z729" s="10"/>
    </row>
    <row r="730" spans="1:2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0"/>
      <c r="X730" s="10"/>
      <c r="Y730" s="10"/>
      <c r="Z730" s="10"/>
    </row>
    <row r="731" spans="1:2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10"/>
      <c r="Y731" s="10"/>
      <c r="Z731" s="10"/>
    </row>
    <row r="732" spans="1:2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0"/>
      <c r="X732" s="10"/>
      <c r="Y732" s="10"/>
      <c r="Z732" s="10"/>
    </row>
    <row r="733" spans="1:2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0"/>
      <c r="X733" s="10"/>
      <c r="Y733" s="10"/>
      <c r="Z733" s="10"/>
    </row>
    <row r="734" spans="1:2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10"/>
      <c r="Y734" s="10"/>
      <c r="Z734" s="10"/>
    </row>
    <row r="735" spans="1:2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0"/>
      <c r="X735" s="10"/>
      <c r="Y735" s="10"/>
      <c r="Z735" s="10"/>
    </row>
    <row r="736" spans="1:2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0"/>
      <c r="X736" s="10"/>
      <c r="Y736" s="10"/>
      <c r="Z736" s="10"/>
    </row>
    <row r="737" spans="1:2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10"/>
      <c r="X737" s="10"/>
      <c r="Y737" s="10"/>
      <c r="Z737" s="10"/>
    </row>
    <row r="738" spans="1:2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10"/>
      <c r="X738" s="10"/>
      <c r="Y738" s="10"/>
      <c r="Z738" s="10"/>
    </row>
    <row r="739" spans="1:2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0"/>
      <c r="X739" s="10"/>
      <c r="Y739" s="10"/>
      <c r="Z739" s="10"/>
    </row>
    <row r="740" spans="1:2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10"/>
      <c r="Y740" s="10"/>
      <c r="Z740" s="10"/>
    </row>
    <row r="741" spans="1:2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10"/>
      <c r="Y741" s="10"/>
      <c r="Z741" s="10"/>
    </row>
    <row r="742" spans="1:2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10"/>
      <c r="X742" s="10"/>
      <c r="Y742" s="10"/>
      <c r="Z742" s="10"/>
    </row>
    <row r="743" spans="1:2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10"/>
      <c r="X743" s="10"/>
      <c r="Y743" s="10"/>
      <c r="Z743" s="10"/>
    </row>
    <row r="744" spans="1:2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0"/>
      <c r="X744" s="10"/>
      <c r="Y744" s="10"/>
      <c r="Z744" s="10"/>
    </row>
    <row r="745" spans="1:2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0"/>
      <c r="X745" s="10"/>
      <c r="Y745" s="10"/>
      <c r="Z745" s="10"/>
    </row>
    <row r="746" spans="1:2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0"/>
      <c r="X746" s="10"/>
      <c r="Y746" s="10"/>
      <c r="Z746" s="10"/>
    </row>
    <row r="747" spans="1:2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10"/>
      <c r="X747" s="10"/>
      <c r="Y747" s="10"/>
      <c r="Z747" s="10"/>
    </row>
    <row r="748" spans="1:2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10"/>
      <c r="X748" s="10"/>
      <c r="Y748" s="10"/>
      <c r="Z748" s="10"/>
    </row>
    <row r="749" spans="1:2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0"/>
      <c r="X749" s="10"/>
      <c r="Y749" s="10"/>
      <c r="Z749" s="10"/>
    </row>
    <row r="750" spans="1:2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10"/>
      <c r="Y750" s="10"/>
      <c r="Z750" s="10"/>
    </row>
    <row r="751" spans="1:2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10"/>
      <c r="Y751" s="10"/>
      <c r="Z751" s="10"/>
    </row>
    <row r="752" spans="1:2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10"/>
      <c r="X752" s="10"/>
      <c r="Y752" s="10"/>
      <c r="Z752" s="10"/>
    </row>
    <row r="753" spans="1:2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10"/>
      <c r="X753" s="10"/>
      <c r="Y753" s="10"/>
      <c r="Z753" s="10"/>
    </row>
    <row r="754" spans="1:2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10"/>
      <c r="Y754" s="10"/>
      <c r="Z754" s="10"/>
    </row>
    <row r="755" spans="1:2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10"/>
      <c r="Y755" s="10"/>
      <c r="Z755" s="10"/>
    </row>
    <row r="756" spans="1:2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10"/>
      <c r="Y756" s="10"/>
      <c r="Z756" s="10"/>
    </row>
    <row r="757" spans="1:2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0"/>
      <c r="X757" s="10"/>
      <c r="Y757" s="10"/>
      <c r="Z757" s="10"/>
    </row>
    <row r="758" spans="1:2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10"/>
      <c r="X758" s="10"/>
      <c r="Y758" s="10"/>
      <c r="Z758" s="10"/>
    </row>
    <row r="759" spans="1:2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10"/>
      <c r="Y759" s="10"/>
      <c r="Z759" s="10"/>
    </row>
    <row r="760" spans="1:26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10"/>
      <c r="Y760" s="10"/>
      <c r="Z760" s="10"/>
    </row>
    <row r="761" spans="1:26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0"/>
      <c r="X761" s="10"/>
      <c r="Y761" s="10"/>
      <c r="Z761" s="10"/>
    </row>
    <row r="762" spans="1:26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0"/>
      <c r="X762" s="10"/>
      <c r="Y762" s="10"/>
      <c r="Z762" s="10"/>
    </row>
    <row r="763" spans="1:26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0"/>
      <c r="X763" s="10"/>
      <c r="Y763" s="10"/>
      <c r="Z763" s="10"/>
    </row>
    <row r="764" spans="1:26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10"/>
      <c r="Y764" s="10"/>
      <c r="Z764" s="10"/>
    </row>
    <row r="765" spans="1:26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10"/>
      <c r="Y765" s="10"/>
      <c r="Z765" s="10"/>
    </row>
    <row r="766" spans="1:26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0"/>
      <c r="X766" s="10"/>
      <c r="Y766" s="10"/>
      <c r="Z766" s="10"/>
    </row>
    <row r="767" spans="1:26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0"/>
      <c r="X767" s="10"/>
      <c r="Y767" s="10"/>
      <c r="Z767" s="10"/>
    </row>
    <row r="768" spans="1:26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0"/>
      <c r="X768" s="10"/>
      <c r="Y768" s="10"/>
      <c r="Z768" s="10"/>
    </row>
    <row r="769" spans="1:26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10"/>
      <c r="Y769" s="10"/>
      <c r="Z769" s="10"/>
    </row>
    <row r="770" spans="1:26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0"/>
      <c r="X770" s="10"/>
      <c r="Y770" s="10"/>
      <c r="Z770" s="10"/>
    </row>
    <row r="771" spans="1:26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10"/>
      <c r="Y771" s="10"/>
      <c r="Z771" s="10"/>
    </row>
    <row r="772" spans="1:26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0"/>
      <c r="X772" s="10"/>
      <c r="Y772" s="10"/>
      <c r="Z772" s="10"/>
    </row>
    <row r="773" spans="1:26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0"/>
      <c r="X773" s="10"/>
      <c r="Y773" s="10"/>
      <c r="Z773" s="10"/>
    </row>
    <row r="774" spans="1:26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10"/>
      <c r="Y774" s="10"/>
      <c r="Z774" s="10"/>
    </row>
    <row r="775" spans="1:26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10"/>
      <c r="Y775" s="10"/>
      <c r="Z775" s="10"/>
    </row>
    <row r="776" spans="1:26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10"/>
      <c r="Y776" s="10"/>
      <c r="Z776" s="10"/>
    </row>
    <row r="777" spans="1:26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0"/>
      <c r="X777" s="10"/>
      <c r="Y777" s="10"/>
      <c r="Z777" s="10"/>
    </row>
    <row r="778" spans="1:26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0"/>
      <c r="X778" s="10"/>
      <c r="Y778" s="10"/>
      <c r="Z778" s="10"/>
    </row>
    <row r="779" spans="1:26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10"/>
      <c r="Y779" s="10"/>
      <c r="Z779" s="10"/>
    </row>
    <row r="780" spans="1:26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0"/>
      <c r="X780" s="10"/>
      <c r="Y780" s="10"/>
      <c r="Z780" s="10"/>
    </row>
    <row r="781" spans="1:26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10"/>
      <c r="Y781" s="10"/>
      <c r="Z781" s="10"/>
    </row>
    <row r="782" spans="1:2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0"/>
      <c r="X782" s="10"/>
      <c r="Y782" s="10"/>
      <c r="Z782" s="10"/>
    </row>
    <row r="783" spans="1:26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0"/>
      <c r="X783" s="10"/>
      <c r="Y783" s="10"/>
      <c r="Z783" s="10"/>
    </row>
    <row r="784" spans="1:26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10"/>
      <c r="Y784" s="10"/>
      <c r="Z784" s="10"/>
    </row>
    <row r="785" spans="1:26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10"/>
      <c r="Y785" s="10"/>
      <c r="Z785" s="10"/>
    </row>
    <row r="786" spans="1:26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10"/>
      <c r="Y786" s="10"/>
      <c r="Z786" s="10"/>
    </row>
    <row r="787" spans="1:26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0"/>
      <c r="X787" s="10"/>
      <c r="Y787" s="10"/>
      <c r="Z787" s="10"/>
    </row>
    <row r="788" spans="1:26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0"/>
      <c r="X788" s="10"/>
      <c r="Y788" s="10"/>
      <c r="Z788" s="10"/>
    </row>
    <row r="789" spans="1:26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10"/>
      <c r="Y789" s="10"/>
      <c r="Z789" s="10"/>
    </row>
    <row r="790" spans="1:26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10"/>
      <c r="Y790" s="10"/>
      <c r="Z790" s="10"/>
    </row>
    <row r="791" spans="1:26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10"/>
      <c r="Y791" s="10"/>
      <c r="Z791" s="10"/>
    </row>
    <row r="792" spans="1:26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0"/>
      <c r="X792" s="10"/>
      <c r="Y792" s="10"/>
      <c r="Z792" s="10"/>
    </row>
    <row r="793" spans="1:26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0"/>
      <c r="X793" s="10"/>
      <c r="Y793" s="10"/>
      <c r="Z793" s="10"/>
    </row>
    <row r="794" spans="1:26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10"/>
      <c r="Y794" s="10"/>
      <c r="Z794" s="10"/>
    </row>
    <row r="795" spans="1:26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10"/>
      <c r="Y795" s="10"/>
      <c r="Z795" s="10"/>
    </row>
    <row r="796" spans="1:26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10"/>
      <c r="Y796" s="10"/>
      <c r="Z796" s="10"/>
    </row>
    <row r="797" spans="1:26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0"/>
      <c r="X797" s="10"/>
      <c r="Y797" s="10"/>
      <c r="Z797" s="10"/>
    </row>
    <row r="798" spans="1:26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0"/>
      <c r="X798" s="10"/>
      <c r="Y798" s="10"/>
      <c r="Z798" s="10"/>
    </row>
    <row r="799" spans="1:26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10"/>
      <c r="Y799" s="10"/>
      <c r="Z799" s="10"/>
    </row>
    <row r="800" spans="1:26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10"/>
      <c r="Y800" s="10"/>
      <c r="Z800" s="10"/>
    </row>
    <row r="801" spans="1:26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10"/>
      <c r="Y801" s="10"/>
      <c r="Z801" s="10"/>
    </row>
    <row r="802" spans="1:26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0"/>
      <c r="X802" s="10"/>
      <c r="Y802" s="10"/>
      <c r="Z802" s="10"/>
    </row>
    <row r="803" spans="1:26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0"/>
      <c r="X803" s="10"/>
      <c r="Y803" s="10"/>
      <c r="Z803" s="10"/>
    </row>
    <row r="804" spans="1:26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10"/>
      <c r="Y804" s="10"/>
      <c r="Z804" s="10"/>
    </row>
    <row r="805" spans="1:26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10"/>
      <c r="Y805" s="10"/>
      <c r="Z805" s="10"/>
    </row>
    <row r="806" spans="1:26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10"/>
      <c r="Y806" s="10"/>
      <c r="Z806" s="10"/>
    </row>
    <row r="807" spans="1:26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0"/>
      <c r="X807" s="10"/>
      <c r="Y807" s="10"/>
      <c r="Z807" s="10"/>
    </row>
    <row r="808" spans="1:26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0"/>
      <c r="X808" s="10"/>
      <c r="Y808" s="10"/>
      <c r="Z808" s="10"/>
    </row>
    <row r="809" spans="1:26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10"/>
      <c r="Y809" s="10"/>
      <c r="Z809" s="10"/>
    </row>
    <row r="810" spans="1:26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10"/>
      <c r="Y810" s="10"/>
      <c r="Z810" s="10"/>
    </row>
    <row r="811" spans="1:26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10"/>
      <c r="Y811" s="10"/>
      <c r="Z811" s="10"/>
    </row>
    <row r="812" spans="1:26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0"/>
      <c r="X812" s="10"/>
      <c r="Y812" s="10"/>
      <c r="Z812" s="10"/>
    </row>
    <row r="813" spans="1:26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0"/>
      <c r="X813" s="10"/>
      <c r="Y813" s="10"/>
      <c r="Z813" s="10"/>
    </row>
    <row r="814" spans="1:26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10"/>
      <c r="Y814" s="10"/>
      <c r="Z814" s="10"/>
    </row>
    <row r="815" spans="1:26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10"/>
      <c r="Y815" s="10"/>
      <c r="Z815" s="10"/>
    </row>
    <row r="816" spans="1:26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10"/>
      <c r="Y816" s="10"/>
      <c r="Z816" s="10"/>
    </row>
    <row r="817" spans="1:26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0"/>
      <c r="X817" s="10"/>
      <c r="Y817" s="10"/>
      <c r="Z817" s="10"/>
    </row>
    <row r="818" spans="1:26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0"/>
      <c r="X818" s="10"/>
      <c r="Y818" s="10"/>
      <c r="Z818" s="10"/>
    </row>
    <row r="819" spans="1:26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10"/>
      <c r="Y819" s="10"/>
      <c r="Z819" s="10"/>
    </row>
    <row r="820" spans="1:26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10"/>
      <c r="Y820" s="10"/>
      <c r="Z820" s="10"/>
    </row>
    <row r="821" spans="1:26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10"/>
      <c r="Y821" s="10"/>
      <c r="Z821" s="10"/>
    </row>
    <row r="822" spans="1:26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10"/>
      <c r="Y822" s="10"/>
      <c r="Z822" s="10"/>
    </row>
    <row r="823" spans="1:26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10"/>
      <c r="Y823" s="10"/>
      <c r="Z823" s="10"/>
    </row>
    <row r="824" spans="1:26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10"/>
      <c r="Y824" s="10"/>
      <c r="Z824" s="10"/>
    </row>
    <row r="825" spans="1:26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10"/>
      <c r="Y825" s="10"/>
      <c r="Z825" s="10"/>
    </row>
    <row r="826" spans="1:26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10"/>
      <c r="Y826" s="10"/>
      <c r="Z826" s="10"/>
    </row>
    <row r="827" spans="1:26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0"/>
      <c r="X827" s="10"/>
      <c r="Y827" s="10"/>
      <c r="Z827" s="10"/>
    </row>
    <row r="828" spans="1:26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0"/>
      <c r="X828" s="10"/>
      <c r="Y828" s="10"/>
      <c r="Z828" s="10"/>
    </row>
    <row r="829" spans="1:26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10"/>
      <c r="Y829" s="10"/>
      <c r="Z829" s="10"/>
    </row>
    <row r="830" spans="1:26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10"/>
      <c r="Y830" s="10"/>
      <c r="Z830" s="10"/>
    </row>
    <row r="831" spans="1:26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10"/>
      <c r="Y831" s="10"/>
      <c r="Z831" s="10"/>
    </row>
    <row r="832" spans="1:26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0"/>
      <c r="X832" s="10"/>
      <c r="Y832" s="10"/>
      <c r="Z832" s="10"/>
    </row>
    <row r="833" spans="1:26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0"/>
      <c r="X833" s="10"/>
      <c r="Y833" s="10"/>
      <c r="Z833" s="10"/>
    </row>
    <row r="834" spans="1:26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10"/>
      <c r="Y834" s="10"/>
      <c r="Z834" s="10"/>
    </row>
    <row r="835" spans="1:26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10"/>
      <c r="Y835" s="10"/>
      <c r="Z835" s="10"/>
    </row>
    <row r="836" spans="1:26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10"/>
      <c r="Y836" s="10"/>
      <c r="Z836" s="10"/>
    </row>
    <row r="837" spans="1:26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0"/>
      <c r="X837" s="10"/>
      <c r="Y837" s="10"/>
      <c r="Z837" s="10"/>
    </row>
    <row r="838" spans="1:26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0"/>
      <c r="X838" s="10"/>
      <c r="Y838" s="10"/>
      <c r="Z838" s="10"/>
    </row>
    <row r="839" spans="1:26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10"/>
      <c r="Y839" s="10"/>
      <c r="Z839" s="10"/>
    </row>
    <row r="840" spans="1:26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10"/>
      <c r="Y840" s="10"/>
      <c r="Z840" s="10"/>
    </row>
    <row r="841" spans="1:26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10"/>
      <c r="Y841" s="10"/>
      <c r="Z841" s="10"/>
    </row>
    <row r="842" spans="1:2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0"/>
      <c r="X842" s="10"/>
      <c r="Y842" s="10"/>
      <c r="Z842" s="10"/>
    </row>
    <row r="843" spans="1:26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0"/>
      <c r="X843" s="10"/>
      <c r="Y843" s="10"/>
      <c r="Z843" s="10"/>
    </row>
    <row r="844" spans="1:26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10"/>
      <c r="Y844" s="10"/>
      <c r="Z844" s="10"/>
    </row>
    <row r="845" spans="1:26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0"/>
      <c r="X845" s="10"/>
      <c r="Y845" s="10"/>
      <c r="Z845" s="10"/>
    </row>
    <row r="846" spans="1:26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10"/>
      <c r="Y846" s="10"/>
      <c r="Z846" s="10"/>
    </row>
    <row r="847" spans="1:26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0"/>
      <c r="X847" s="10"/>
      <c r="Y847" s="10"/>
      <c r="Z847" s="10"/>
    </row>
    <row r="848" spans="1:26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0"/>
      <c r="X848" s="10"/>
      <c r="Y848" s="10"/>
      <c r="Z848" s="10"/>
    </row>
    <row r="849" spans="1:26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10"/>
      <c r="Y849" s="10"/>
      <c r="Z849" s="10"/>
    </row>
    <row r="850" spans="1:26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0"/>
      <c r="X850" s="10"/>
      <c r="Y850" s="10"/>
      <c r="Z850" s="10"/>
    </row>
    <row r="851" spans="1:26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0"/>
      <c r="X851" s="10"/>
      <c r="Y851" s="10"/>
      <c r="Z851" s="10"/>
    </row>
    <row r="852" spans="1:26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10"/>
      <c r="X852" s="10"/>
      <c r="Y852" s="10"/>
      <c r="Z852" s="10"/>
    </row>
    <row r="853" spans="1:26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10"/>
      <c r="X853" s="10"/>
      <c r="Y853" s="10"/>
      <c r="Z853" s="10"/>
    </row>
    <row r="854" spans="1:26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0"/>
      <c r="X854" s="10"/>
      <c r="Y854" s="10"/>
      <c r="Z854" s="10"/>
    </row>
    <row r="855" spans="1:26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0"/>
      <c r="X855" s="10"/>
      <c r="Y855" s="10"/>
      <c r="Z855" s="10"/>
    </row>
    <row r="856" spans="1:26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0"/>
      <c r="X856" s="10"/>
      <c r="Y856" s="10"/>
      <c r="Z856" s="10"/>
    </row>
    <row r="857" spans="1:26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10"/>
      <c r="X857" s="10"/>
      <c r="Y857" s="10"/>
      <c r="Z857" s="10"/>
    </row>
    <row r="858" spans="1:26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10"/>
      <c r="X858" s="10"/>
      <c r="Y858" s="10"/>
      <c r="Z858" s="10"/>
    </row>
    <row r="859" spans="1:26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0"/>
      <c r="X859" s="10"/>
      <c r="Y859" s="10"/>
      <c r="Z859" s="10"/>
    </row>
    <row r="860" spans="1:26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0"/>
      <c r="X860" s="10"/>
      <c r="Y860" s="10"/>
      <c r="Z860" s="10"/>
    </row>
    <row r="861" spans="1:26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0"/>
      <c r="X861" s="10"/>
      <c r="Y861" s="10"/>
      <c r="Z861" s="10"/>
    </row>
    <row r="862" spans="1:26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10"/>
      <c r="X862" s="10"/>
      <c r="Y862" s="10"/>
      <c r="Z862" s="10"/>
    </row>
    <row r="863" spans="1:26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10"/>
      <c r="X863" s="10"/>
      <c r="Y863" s="10"/>
      <c r="Z863" s="10"/>
    </row>
    <row r="864" spans="1:26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0"/>
      <c r="X864" s="10"/>
      <c r="Y864" s="10"/>
      <c r="Z864" s="10"/>
    </row>
    <row r="865" spans="1:26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0"/>
      <c r="X865" s="10"/>
      <c r="Y865" s="10"/>
      <c r="Z865" s="10"/>
    </row>
    <row r="866" spans="1:26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0"/>
      <c r="X866" s="10"/>
      <c r="Y866" s="10"/>
      <c r="Z866" s="10"/>
    </row>
    <row r="867" spans="1:26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10"/>
      <c r="X867" s="10"/>
      <c r="Y867" s="10"/>
      <c r="Z867" s="10"/>
    </row>
    <row r="868" spans="1:26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10"/>
      <c r="X868" s="10"/>
      <c r="Y868" s="10"/>
      <c r="Z868" s="10"/>
    </row>
    <row r="869" spans="1:26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0"/>
      <c r="X869" s="10"/>
      <c r="Y869" s="10"/>
      <c r="Z869" s="10"/>
    </row>
    <row r="870" spans="1:26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0"/>
      <c r="X870" s="10"/>
      <c r="Y870" s="10"/>
      <c r="Z870" s="10"/>
    </row>
    <row r="871" spans="1:26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0"/>
      <c r="X871" s="10"/>
      <c r="Y871" s="10"/>
      <c r="Z871" s="10"/>
    </row>
    <row r="872" spans="1:26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10"/>
      <c r="X872" s="10"/>
      <c r="Y872" s="10"/>
      <c r="Z872" s="10"/>
    </row>
    <row r="873" spans="1:26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10"/>
      <c r="X873" s="10"/>
      <c r="Y873" s="10"/>
      <c r="Z873" s="10"/>
    </row>
    <row r="874" spans="1:26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0"/>
      <c r="X874" s="10"/>
      <c r="Y874" s="10"/>
      <c r="Z874" s="10"/>
    </row>
    <row r="875" spans="1:26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0"/>
      <c r="X875" s="10"/>
      <c r="Y875" s="10"/>
      <c r="Z875" s="10"/>
    </row>
    <row r="876" spans="1:26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0"/>
      <c r="X876" s="10"/>
      <c r="Y876" s="10"/>
      <c r="Z876" s="10"/>
    </row>
    <row r="877" spans="1:26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10"/>
      <c r="X877" s="10"/>
      <c r="Y877" s="10"/>
      <c r="Z877" s="10"/>
    </row>
    <row r="878" spans="1:26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10"/>
      <c r="X878" s="10"/>
      <c r="Y878" s="10"/>
      <c r="Z878" s="10"/>
    </row>
    <row r="879" spans="1:26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0"/>
      <c r="X879" s="10"/>
      <c r="Y879" s="10"/>
      <c r="Z879" s="10"/>
    </row>
    <row r="880" spans="1:26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0"/>
      <c r="X880" s="10"/>
      <c r="Y880" s="10"/>
      <c r="Z880" s="10"/>
    </row>
    <row r="881" spans="1:26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0"/>
      <c r="X881" s="10"/>
      <c r="Y881" s="10"/>
      <c r="Z881" s="10"/>
    </row>
    <row r="882" spans="1:26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10"/>
      <c r="X882" s="10"/>
      <c r="Y882" s="10"/>
      <c r="Z882" s="10"/>
    </row>
    <row r="883" spans="1:26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10"/>
      <c r="X883" s="10"/>
      <c r="Y883" s="10"/>
      <c r="Z883" s="10"/>
    </row>
    <row r="884" spans="1:26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0"/>
      <c r="X884" s="10"/>
      <c r="Y884" s="10"/>
      <c r="Z884" s="10"/>
    </row>
    <row r="885" spans="1:26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0"/>
      <c r="X885" s="10"/>
      <c r="Y885" s="10"/>
      <c r="Z885" s="10"/>
    </row>
    <row r="886" spans="1:26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0"/>
      <c r="X886" s="10"/>
      <c r="Y886" s="10"/>
      <c r="Z886" s="10"/>
    </row>
    <row r="887" spans="1:26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10"/>
      <c r="X887" s="10"/>
      <c r="Y887" s="10"/>
      <c r="Z887" s="10"/>
    </row>
    <row r="888" spans="1:26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10"/>
      <c r="X888" s="10"/>
      <c r="Y888" s="10"/>
      <c r="Z888" s="10"/>
    </row>
    <row r="889" spans="1:26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0"/>
      <c r="X889" s="10"/>
      <c r="Y889" s="10"/>
      <c r="Z889" s="10"/>
    </row>
    <row r="890" spans="1:26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0"/>
      <c r="X890" s="10"/>
      <c r="Y890" s="10"/>
      <c r="Z890" s="10"/>
    </row>
    <row r="891" spans="1:26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10"/>
      <c r="Y891" s="10"/>
      <c r="Z891" s="10"/>
    </row>
    <row r="892" spans="1:26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10"/>
      <c r="X892" s="10"/>
      <c r="Y892" s="10"/>
      <c r="Z892" s="10"/>
    </row>
    <row r="893" spans="1:26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10"/>
      <c r="X893" s="10"/>
      <c r="Y893" s="10"/>
      <c r="Z893" s="10"/>
    </row>
    <row r="894" spans="1:26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0"/>
      <c r="X894" s="10"/>
      <c r="Y894" s="10"/>
      <c r="Z894" s="10"/>
    </row>
    <row r="895" spans="1:26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0"/>
      <c r="X895" s="10"/>
      <c r="Y895" s="10"/>
      <c r="Z895" s="10"/>
    </row>
    <row r="896" spans="1:26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0"/>
      <c r="X896" s="10"/>
      <c r="Y896" s="10"/>
      <c r="Z896" s="10"/>
    </row>
    <row r="897" spans="1:26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10"/>
      <c r="X897" s="10"/>
      <c r="Y897" s="10"/>
      <c r="Z897" s="10"/>
    </row>
    <row r="898" spans="1:26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10"/>
      <c r="X898" s="10"/>
      <c r="Y898" s="10"/>
      <c r="Z898" s="10"/>
    </row>
    <row r="899" spans="1:26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0"/>
      <c r="X899" s="10"/>
      <c r="Y899" s="10"/>
      <c r="Z899" s="10"/>
    </row>
    <row r="900" spans="1:26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0"/>
      <c r="X900" s="10"/>
      <c r="Y900" s="10"/>
      <c r="Z900" s="10"/>
    </row>
    <row r="901" spans="1:26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0"/>
      <c r="X901" s="10"/>
      <c r="Y901" s="10"/>
      <c r="Z901" s="10"/>
    </row>
    <row r="902" spans="1:2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10"/>
      <c r="X902" s="10"/>
      <c r="Y902" s="10"/>
      <c r="Z902" s="10"/>
    </row>
    <row r="903" spans="1:26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10"/>
      <c r="X903" s="10"/>
      <c r="Y903" s="10"/>
      <c r="Z903" s="10"/>
    </row>
    <row r="904" spans="1:26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10"/>
      <c r="X904" s="10"/>
      <c r="Y904" s="10"/>
      <c r="Z904" s="10"/>
    </row>
    <row r="905" spans="1:26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10"/>
      <c r="X905" s="10"/>
      <c r="Y905" s="10"/>
      <c r="Z905" s="10"/>
    </row>
    <row r="906" spans="1:26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0"/>
      <c r="X906" s="10"/>
      <c r="Y906" s="10"/>
      <c r="Z906" s="10"/>
    </row>
    <row r="907" spans="1:26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10"/>
      <c r="X907" s="10"/>
      <c r="Y907" s="10"/>
      <c r="Z907" s="10"/>
    </row>
    <row r="908" spans="1:26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10"/>
      <c r="X908" s="10"/>
      <c r="Y908" s="10"/>
      <c r="Z908" s="10"/>
    </row>
    <row r="909" spans="1:26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0"/>
      <c r="X909" s="10"/>
      <c r="Y909" s="10"/>
      <c r="Z909" s="10"/>
    </row>
    <row r="910" spans="1:26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0"/>
      <c r="X910" s="10"/>
      <c r="Y910" s="10"/>
      <c r="Z910" s="10"/>
    </row>
    <row r="911" spans="1:26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0"/>
      <c r="X911" s="10"/>
      <c r="Y911" s="10"/>
      <c r="Z911" s="10"/>
    </row>
    <row r="912" spans="1:26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10"/>
      <c r="X912" s="10"/>
      <c r="Y912" s="10"/>
      <c r="Z912" s="10"/>
    </row>
    <row r="913" spans="1:26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10"/>
      <c r="X913" s="10"/>
      <c r="Y913" s="10"/>
      <c r="Z913" s="10"/>
    </row>
    <row r="914" spans="1:26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0"/>
      <c r="X914" s="10"/>
      <c r="Y914" s="10"/>
      <c r="Z914" s="10"/>
    </row>
    <row r="915" spans="1:26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0"/>
      <c r="X915" s="10"/>
      <c r="Y915" s="10"/>
      <c r="Z915" s="10"/>
    </row>
    <row r="916" spans="1:26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0"/>
      <c r="X916" s="10"/>
      <c r="Y916" s="10"/>
      <c r="Z916" s="10"/>
    </row>
    <row r="917" spans="1:26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10"/>
      <c r="X917" s="10"/>
      <c r="Y917" s="10"/>
      <c r="Z917" s="10"/>
    </row>
    <row r="918" spans="1:26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10"/>
      <c r="X918" s="10"/>
      <c r="Y918" s="10"/>
      <c r="Z918" s="10"/>
    </row>
    <row r="919" spans="1:26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0"/>
      <c r="X919" s="10"/>
      <c r="Y919" s="10"/>
      <c r="Z919" s="10"/>
    </row>
    <row r="920" spans="1:26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0"/>
      <c r="X920" s="10"/>
      <c r="Y920" s="10"/>
      <c r="Z920" s="10"/>
    </row>
    <row r="921" spans="1:26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0"/>
      <c r="X921" s="10"/>
      <c r="Y921" s="10"/>
      <c r="Z921" s="10"/>
    </row>
    <row r="922" spans="1:26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10"/>
      <c r="X922" s="10"/>
      <c r="Y922" s="10"/>
      <c r="Z922" s="10"/>
    </row>
    <row r="923" spans="1:26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10"/>
      <c r="X923" s="10"/>
      <c r="Y923" s="10"/>
      <c r="Z923" s="10"/>
    </row>
    <row r="924" spans="1:26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0"/>
      <c r="X924" s="10"/>
      <c r="Y924" s="10"/>
      <c r="Z924" s="10"/>
    </row>
    <row r="925" spans="1:26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0"/>
      <c r="X925" s="10"/>
      <c r="Y925" s="10"/>
      <c r="Z925" s="10"/>
    </row>
    <row r="926" spans="1:26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0"/>
      <c r="X926" s="10"/>
      <c r="Y926" s="10"/>
      <c r="Z926" s="10"/>
    </row>
    <row r="927" spans="1:26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10"/>
      <c r="X927" s="10"/>
      <c r="Y927" s="10"/>
      <c r="Z927" s="10"/>
    </row>
    <row r="928" spans="1:26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10"/>
      <c r="X928" s="10"/>
      <c r="Y928" s="10"/>
      <c r="Z928" s="10"/>
    </row>
    <row r="929" spans="1:26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0"/>
      <c r="X929" s="10"/>
      <c r="Y929" s="10"/>
      <c r="Z929" s="10"/>
    </row>
    <row r="930" spans="1:26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0"/>
      <c r="X930" s="10"/>
      <c r="Y930" s="10"/>
      <c r="Z930" s="10"/>
    </row>
    <row r="931" spans="1:26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0"/>
      <c r="X931" s="10"/>
      <c r="Y931" s="10"/>
      <c r="Z931" s="10"/>
    </row>
    <row r="932" spans="1:26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10"/>
      <c r="X932" s="10"/>
      <c r="Y932" s="10"/>
      <c r="Z932" s="10"/>
    </row>
    <row r="933" spans="1:26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10"/>
      <c r="X933" s="10"/>
      <c r="Y933" s="10"/>
      <c r="Z933" s="10"/>
    </row>
    <row r="934" spans="1:26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0"/>
      <c r="X934" s="10"/>
      <c r="Y934" s="10"/>
      <c r="Z934" s="10"/>
    </row>
    <row r="935" spans="1:26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0"/>
      <c r="X935" s="10"/>
      <c r="Y935" s="10"/>
      <c r="Z935" s="10"/>
    </row>
    <row r="936" spans="1:26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0"/>
      <c r="X936" s="10"/>
      <c r="Y936" s="10"/>
      <c r="Z936" s="10"/>
    </row>
    <row r="937" spans="1:26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10"/>
      <c r="X937" s="10"/>
      <c r="Y937" s="10"/>
      <c r="Z937" s="10"/>
    </row>
    <row r="938" spans="1:26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10"/>
      <c r="X938" s="10"/>
      <c r="Y938" s="10"/>
      <c r="Z938" s="10"/>
    </row>
    <row r="939" spans="1:26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0"/>
      <c r="X939" s="10"/>
      <c r="Y939" s="10"/>
      <c r="Z939" s="10"/>
    </row>
    <row r="940" spans="1:26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0"/>
      <c r="X940" s="10"/>
      <c r="Y940" s="10"/>
      <c r="Z940" s="10"/>
    </row>
    <row r="941" spans="1:26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10"/>
      <c r="Y941" s="10"/>
      <c r="Z941" s="10"/>
    </row>
    <row r="942" spans="1:26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0"/>
      <c r="X942" s="10"/>
      <c r="Y942" s="10"/>
      <c r="Z942" s="10"/>
    </row>
    <row r="943" spans="1:26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0"/>
      <c r="X943" s="10"/>
      <c r="Y943" s="10"/>
      <c r="Z943" s="10"/>
    </row>
    <row r="944" spans="1:26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10"/>
      <c r="Y944" s="10"/>
      <c r="Z944" s="10"/>
    </row>
    <row r="945" spans="1:26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10"/>
      <c r="Y945" s="10"/>
      <c r="Z945" s="10"/>
    </row>
    <row r="946" spans="1:26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10"/>
      <c r="Y946" s="10"/>
      <c r="Z946" s="10"/>
    </row>
    <row r="947" spans="1:26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0"/>
      <c r="X947" s="10"/>
      <c r="Y947" s="10"/>
      <c r="Z947" s="10"/>
    </row>
    <row r="948" spans="1:26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0"/>
      <c r="X948" s="10"/>
      <c r="Y948" s="10"/>
      <c r="Z948" s="10"/>
    </row>
    <row r="949" spans="1:26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10"/>
      <c r="Y949" s="10"/>
      <c r="Z949" s="10"/>
    </row>
    <row r="950" spans="1:26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10"/>
      <c r="Y950" s="10"/>
      <c r="Z950" s="10"/>
    </row>
    <row r="951" spans="1:26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0"/>
      <c r="X951" s="10"/>
      <c r="Y951" s="10"/>
      <c r="Z951" s="10"/>
    </row>
    <row r="952" spans="1:26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0"/>
      <c r="X952" s="10"/>
      <c r="Y952" s="10"/>
      <c r="Z952" s="10"/>
    </row>
    <row r="953" spans="1:26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10"/>
      <c r="X953" s="10"/>
      <c r="Y953" s="10"/>
      <c r="Z953" s="10"/>
    </row>
    <row r="954" spans="1:26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10"/>
      <c r="Y954" s="10"/>
      <c r="Z954" s="10"/>
    </row>
    <row r="955" spans="1:26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0"/>
      <c r="X955" s="10"/>
      <c r="Y955" s="10"/>
      <c r="Z955" s="10"/>
    </row>
    <row r="956" spans="1:26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0"/>
      <c r="X956" s="10"/>
      <c r="Y956" s="10"/>
      <c r="Z956" s="10"/>
    </row>
    <row r="957" spans="1:26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10"/>
      <c r="X957" s="10"/>
      <c r="Y957" s="10"/>
      <c r="Z957" s="10"/>
    </row>
    <row r="958" spans="1:26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10"/>
      <c r="X958" s="10"/>
      <c r="Y958" s="10"/>
      <c r="Z958" s="10"/>
    </row>
    <row r="959" spans="1:26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0"/>
      <c r="X959" s="10"/>
      <c r="Y959" s="10"/>
      <c r="Z959" s="10"/>
    </row>
    <row r="960" spans="1:26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10"/>
      <c r="X960" s="10"/>
      <c r="Y960" s="10"/>
      <c r="Z960" s="10"/>
    </row>
    <row r="961" spans="1:26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0"/>
      <c r="X961" s="10"/>
      <c r="Y961" s="10"/>
      <c r="Z961" s="10"/>
    </row>
    <row r="962" spans="1:2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0"/>
      <c r="X962" s="10"/>
      <c r="Y962" s="10"/>
      <c r="Z962" s="10"/>
    </row>
    <row r="963" spans="1:26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0"/>
      <c r="X963" s="10"/>
      <c r="Y963" s="10"/>
      <c r="Z963" s="10"/>
    </row>
    <row r="964" spans="1:26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10"/>
      <c r="Y964" s="10"/>
      <c r="Z964" s="10"/>
    </row>
    <row r="965" spans="1:26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10"/>
      <c r="Y965" s="10"/>
      <c r="Z965" s="10"/>
    </row>
    <row r="966" spans="1:26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10"/>
      <c r="Y966" s="10"/>
      <c r="Z966" s="10"/>
    </row>
    <row r="967" spans="1:26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10"/>
      <c r="X967" s="10"/>
      <c r="Y967" s="10"/>
      <c r="Z967" s="1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5FDB-B803-4576-AB41-AE0E416F7AFA}">
  <dimension ref="A1:AN962"/>
  <sheetViews>
    <sheetView zoomScale="130" zoomScaleNormal="130" workbookViewId="0">
      <selection activeCell="C40" sqref="C40:F40"/>
    </sheetView>
  </sheetViews>
  <sheetFormatPr defaultColWidth="8.6640625" defaultRowHeight="14.4" x14ac:dyDescent="0.3"/>
  <cols>
    <col min="1" max="1" width="39.44140625" customWidth="1"/>
    <col min="2" max="2" width="20.44140625" bestFit="1" customWidth="1"/>
    <col min="3" max="3" width="21.109375" customWidth="1"/>
    <col min="4" max="4" width="14.5546875" bestFit="1" customWidth="1"/>
    <col min="5" max="5" width="16.109375" bestFit="1" customWidth="1"/>
    <col min="6" max="6" width="24.88671875" customWidth="1"/>
    <col min="7" max="7" width="18.21875" customWidth="1"/>
    <col min="8" max="8" width="19.21875" customWidth="1"/>
    <col min="9" max="9" width="14.33203125" style="308" customWidth="1"/>
    <col min="10" max="10" width="14.33203125" customWidth="1"/>
    <col min="11" max="11" width="15.88671875" hidden="1" customWidth="1"/>
    <col min="12" max="12" width="12.6640625" hidden="1" customWidth="1"/>
    <col min="13" max="13" width="14.33203125" hidden="1" customWidth="1"/>
    <col min="14" max="15" width="25.6640625" hidden="1" customWidth="1"/>
    <col min="16" max="16" width="32.6640625" hidden="1" customWidth="1"/>
    <col min="17" max="17" width="14.6640625" hidden="1" customWidth="1"/>
    <col min="18" max="18" width="28.6640625" style="96" hidden="1" customWidth="1"/>
    <col min="19" max="20" width="0" style="96" hidden="1" customWidth="1"/>
    <col min="21" max="21" width="14.33203125" style="96" hidden="1" customWidth="1"/>
    <col min="22" max="22" width="0" style="96" hidden="1" customWidth="1"/>
    <col min="23" max="23" width="11" style="96" hidden="1" customWidth="1"/>
    <col min="24" max="26" width="0" style="96" hidden="1" customWidth="1"/>
    <col min="27" max="27" width="10.88671875" style="96" hidden="1" customWidth="1"/>
    <col min="28" max="29" width="0" style="96" hidden="1" customWidth="1"/>
    <col min="30" max="30" width="12.33203125" style="96" hidden="1" customWidth="1"/>
    <col min="31" max="32" width="0" hidden="1" customWidth="1"/>
    <col min="33" max="33" width="11.88671875" hidden="1" customWidth="1"/>
    <col min="34" max="37" width="0" hidden="1" customWidth="1"/>
  </cols>
  <sheetData>
    <row r="1" spans="1:40" x14ac:dyDescent="0.3">
      <c r="A1" s="30" t="s">
        <v>48</v>
      </c>
      <c r="B1" s="30"/>
      <c r="C1" s="30"/>
      <c r="D1" s="30"/>
      <c r="E1" s="30"/>
      <c r="F1" s="30"/>
      <c r="G1" s="42"/>
      <c r="H1" s="30"/>
      <c r="I1" s="292"/>
      <c r="J1" s="30"/>
      <c r="K1" s="30"/>
      <c r="L1" s="30"/>
      <c r="N1" s="12"/>
    </row>
    <row r="2" spans="1:40" x14ac:dyDescent="0.3">
      <c r="A2" s="290" t="s">
        <v>30</v>
      </c>
      <c r="B2" s="290" t="s">
        <v>1</v>
      </c>
      <c r="C2" s="301" t="s">
        <v>31</v>
      </c>
      <c r="D2" s="302"/>
      <c r="E2" s="302"/>
      <c r="F2" s="302"/>
      <c r="G2" s="303"/>
      <c r="H2" s="274" t="s">
        <v>37</v>
      </c>
      <c r="I2" s="304" t="s">
        <v>224</v>
      </c>
      <c r="J2" s="274" t="s">
        <v>39</v>
      </c>
      <c r="K2" s="277" t="s">
        <v>208</v>
      </c>
      <c r="L2" s="9"/>
      <c r="N2" s="53" t="s">
        <v>107</v>
      </c>
      <c r="O2" s="43"/>
      <c r="P2" s="43"/>
      <c r="Q2" s="43"/>
    </row>
    <row r="3" spans="1:40" x14ac:dyDescent="0.3">
      <c r="A3" s="312"/>
      <c r="B3" s="312"/>
      <c r="C3" s="7" t="s">
        <v>279</v>
      </c>
      <c r="D3" s="7" t="s">
        <v>33</v>
      </c>
      <c r="E3" s="7" t="s">
        <v>34</v>
      </c>
      <c r="F3" s="7" t="s">
        <v>229</v>
      </c>
      <c r="G3" s="7" t="s">
        <v>35</v>
      </c>
      <c r="H3" s="290"/>
      <c r="I3" s="313"/>
      <c r="J3" s="290"/>
      <c r="K3" s="278"/>
      <c r="L3" s="8" t="s">
        <v>78</v>
      </c>
      <c r="N3" s="8" t="s">
        <v>108</v>
      </c>
      <c r="O3" s="8" t="s">
        <v>130</v>
      </c>
      <c r="P3" s="71" t="s">
        <v>132</v>
      </c>
      <c r="Q3" s="71" t="s">
        <v>221</v>
      </c>
      <c r="R3" s="109" t="s">
        <v>177</v>
      </c>
      <c r="S3" s="109" t="s">
        <v>177</v>
      </c>
      <c r="T3" s="109" t="s">
        <v>177</v>
      </c>
      <c r="U3" s="109" t="s">
        <v>177</v>
      </c>
      <c r="V3" s="109" t="s">
        <v>177</v>
      </c>
      <c r="W3" s="109" t="s">
        <v>177</v>
      </c>
      <c r="X3" s="109" t="s">
        <v>177</v>
      </c>
      <c r="Y3" s="109" t="s">
        <v>177</v>
      </c>
      <c r="Z3" s="109" t="s">
        <v>177</v>
      </c>
      <c r="AA3" s="109" t="s">
        <v>177</v>
      </c>
      <c r="AB3" s="109" t="s">
        <v>177</v>
      </c>
      <c r="AC3" s="109" t="s">
        <v>177</v>
      </c>
      <c r="AD3" s="109" t="s">
        <v>177</v>
      </c>
      <c r="AE3" s="109" t="s">
        <v>177</v>
      </c>
      <c r="AF3" s="109" t="s">
        <v>177</v>
      </c>
      <c r="AG3" s="109" t="s">
        <v>177</v>
      </c>
    </row>
    <row r="4" spans="1:40" x14ac:dyDescent="0.3">
      <c r="A4" s="216" t="s">
        <v>15</v>
      </c>
      <c r="B4" s="215" t="s">
        <v>5</v>
      </c>
      <c r="C4" s="267">
        <f>935.94+130292.96</f>
        <v>131228.9</v>
      </c>
      <c r="D4" s="16">
        <f>120437.45+20032.11</f>
        <v>140469.56</v>
      </c>
      <c r="E4" s="16">
        <v>0</v>
      </c>
      <c r="F4" s="16"/>
      <c r="G4" s="360">
        <f t="shared" ref="G4:G12" si="0">SUM(C4:E4)</f>
        <v>271698.45999999996</v>
      </c>
      <c r="H4" s="361">
        <f>G4*15%</f>
        <v>40754.768999999993</v>
      </c>
      <c r="I4" s="305">
        <v>0.15</v>
      </c>
      <c r="J4" s="21" t="s">
        <v>69</v>
      </c>
      <c r="K4" s="310">
        <f>H4-16856.11</f>
        <v>23898.658999999992</v>
      </c>
      <c r="L4" s="21"/>
      <c r="M4" t="s">
        <v>127</v>
      </c>
      <c r="N4" s="17">
        <f>Controle!I4-'fluxo caixa dez 2025'!G5-'fluxo caixa jan 2026'!G4</f>
        <v>1798694.42</v>
      </c>
      <c r="O4" s="116">
        <f>'fluxo caixa dez 2025'!N5</f>
        <v>0</v>
      </c>
      <c r="P4" s="17"/>
      <c r="Q4" s="25"/>
      <c r="R4" s="138" t="s">
        <v>159</v>
      </c>
      <c r="S4" s="138" t="s">
        <v>160</v>
      </c>
      <c r="T4" s="138"/>
      <c r="U4" s="138"/>
      <c r="V4" s="138" t="s">
        <v>184</v>
      </c>
      <c r="W4" s="138"/>
      <c r="Y4" s="138" t="s">
        <v>185</v>
      </c>
      <c r="Z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</row>
    <row r="5" spans="1:40" x14ac:dyDescent="0.3">
      <c r="A5" s="216" t="s">
        <v>3</v>
      </c>
      <c r="B5" s="215" t="s">
        <v>4</v>
      </c>
      <c r="C5" s="22">
        <f>14.61+28597.08</f>
        <v>28611.690000000002</v>
      </c>
      <c r="D5" s="267">
        <f>7172.46+1557.18</f>
        <v>8729.64</v>
      </c>
      <c r="E5" s="22">
        <f>31995.17+13678.26</f>
        <v>45673.43</v>
      </c>
      <c r="F5" s="22">
        <f>6965.65+1512.28</f>
        <v>8477.93</v>
      </c>
      <c r="G5" s="360">
        <f>SUM(C5:F5)</f>
        <v>91492.69</v>
      </c>
      <c r="H5" s="361">
        <f>G5*12.5%</f>
        <v>11436.58625</v>
      </c>
      <c r="I5" s="305">
        <v>0.125</v>
      </c>
      <c r="J5" s="21" t="s">
        <v>69</v>
      </c>
      <c r="K5" s="310">
        <f>H5-175.49</f>
        <v>11261.096250000001</v>
      </c>
      <c r="L5" s="21"/>
      <c r="M5" s="41"/>
      <c r="N5" s="17">
        <f>Controle!I7-'fluxo caixa dez 2025'!G6-'fluxo caixa jan 2026'!G5</f>
        <v>465869.60000000003</v>
      </c>
      <c r="O5" s="116">
        <f>'fluxo caixa dez 2025'!N6</f>
        <v>0</v>
      </c>
      <c r="P5" s="17"/>
      <c r="Q5" s="25"/>
      <c r="R5" s="138" t="s">
        <v>144</v>
      </c>
      <c r="S5" s="138" t="s">
        <v>143</v>
      </c>
      <c r="T5" s="138"/>
      <c r="U5" s="138"/>
      <c r="V5" s="138" t="s">
        <v>186</v>
      </c>
      <c r="W5" s="138"/>
      <c r="Y5" s="143" t="s">
        <v>227</v>
      </c>
      <c r="Z5" s="138"/>
      <c r="AA5" s="138"/>
      <c r="AB5" s="143" t="s">
        <v>228</v>
      </c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</row>
    <row r="6" spans="1:40" x14ac:dyDescent="0.3">
      <c r="A6" s="216" t="s">
        <v>40</v>
      </c>
      <c r="B6" s="215" t="s">
        <v>47</v>
      </c>
      <c r="C6" s="22">
        <f>126.43+7490.92+29915.73</f>
        <v>37533.08</v>
      </c>
      <c r="D6" s="22">
        <v>0</v>
      </c>
      <c r="E6" s="22">
        <f>117113.29+44320.78</f>
        <v>161434.07</v>
      </c>
      <c r="F6" s="22"/>
      <c r="G6" s="360">
        <f t="shared" si="0"/>
        <v>198967.15000000002</v>
      </c>
      <c r="H6" s="361">
        <f>G6*12.5%</f>
        <v>24870.893750000003</v>
      </c>
      <c r="I6" s="305">
        <v>0.125</v>
      </c>
      <c r="J6" s="21" t="s">
        <v>69</v>
      </c>
      <c r="K6" s="310">
        <f>H6-1195.94</f>
        <v>23674.953750000004</v>
      </c>
      <c r="L6" s="21"/>
      <c r="N6" s="17">
        <v>0</v>
      </c>
      <c r="O6" s="116">
        <f>'fluxo caixa dez 2025'!N7-G6</f>
        <v>-198967.15000000002</v>
      </c>
      <c r="P6" s="17"/>
      <c r="Q6" s="25"/>
      <c r="R6" s="138" t="s">
        <v>143</v>
      </c>
      <c r="S6" s="138" t="s">
        <v>144</v>
      </c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</row>
    <row r="7" spans="1:40" x14ac:dyDescent="0.3">
      <c r="A7" s="216" t="s">
        <v>49</v>
      </c>
      <c r="B7" s="215" t="s">
        <v>42</v>
      </c>
      <c r="C7" s="22">
        <f>77493.14+19258.98+113.33+28.3</f>
        <v>96893.75</v>
      </c>
      <c r="D7" s="22">
        <f>7767.74+36041.33</f>
        <v>43809.07</v>
      </c>
      <c r="E7" s="22">
        <v>0</v>
      </c>
      <c r="F7" s="22"/>
      <c r="G7" s="360">
        <f t="shared" si="0"/>
        <v>140702.82</v>
      </c>
      <c r="H7" s="361">
        <f>G7*12.5%</f>
        <v>17587.852500000001</v>
      </c>
      <c r="I7" s="305">
        <v>0.125</v>
      </c>
      <c r="J7" s="21" t="s">
        <v>69</v>
      </c>
      <c r="K7" s="310">
        <f t="shared" ref="K7:K28" si="1">H7</f>
        <v>17587.852500000001</v>
      </c>
      <c r="L7" s="21"/>
      <c r="N7" s="17">
        <f>Controle!I10-'fluxo caixa dez 2025'!G8-'fluxo caixa jan 2026'!G7</f>
        <v>615333.82999999984</v>
      </c>
      <c r="O7" s="116">
        <v>0</v>
      </c>
      <c r="P7" s="17"/>
      <c r="Q7" s="25"/>
      <c r="R7" s="138" t="s">
        <v>182</v>
      </c>
      <c r="S7" s="138" t="s">
        <v>183</v>
      </c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</row>
    <row r="8" spans="1:40" x14ac:dyDescent="0.3">
      <c r="A8" s="218" t="s">
        <v>53</v>
      </c>
      <c r="B8" s="215" t="s">
        <v>6</v>
      </c>
      <c r="C8" s="22">
        <f>78998.75+304.38</f>
        <v>79303.13</v>
      </c>
      <c r="D8" s="22">
        <f>46532.24+10102.4</f>
        <v>56634.64</v>
      </c>
      <c r="E8" s="22">
        <f>133600.09+50256.03</f>
        <v>183856.12</v>
      </c>
      <c r="F8" s="22"/>
      <c r="G8" s="360">
        <f t="shared" si="0"/>
        <v>319793.89</v>
      </c>
      <c r="H8" s="361">
        <f>G8*15%</f>
        <v>47969.083500000001</v>
      </c>
      <c r="I8" s="305">
        <v>0.15</v>
      </c>
      <c r="J8" s="21" t="s">
        <v>69</v>
      </c>
      <c r="K8" s="310">
        <f t="shared" si="1"/>
        <v>47969.083500000001</v>
      </c>
      <c r="L8" s="21"/>
      <c r="N8" s="17">
        <f>Controle!I13-'fluxo caixa dez 2025'!G9-'fluxo caixa jan 2026'!G8</f>
        <v>2396149.46</v>
      </c>
      <c r="O8" s="116">
        <f>Controle!J13</f>
        <v>1047001.63</v>
      </c>
      <c r="P8" s="17"/>
      <c r="Q8" s="25"/>
      <c r="R8" s="138" t="s">
        <v>141</v>
      </c>
      <c r="S8" s="138" t="s">
        <v>142</v>
      </c>
      <c r="T8" s="138"/>
      <c r="U8" s="138"/>
      <c r="V8" s="138" t="s">
        <v>187</v>
      </c>
      <c r="W8" s="138"/>
      <c r="Y8" s="143" t="s">
        <v>226</v>
      </c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</row>
    <row r="9" spans="1:40" x14ac:dyDescent="0.3">
      <c r="A9" s="216" t="s">
        <v>74</v>
      </c>
      <c r="B9" s="215" t="s">
        <v>75</v>
      </c>
      <c r="C9" s="22">
        <f>49803.2+262.02</f>
        <v>50065.219999999994</v>
      </c>
      <c r="D9" s="22">
        <f>13521.85+2923.39</f>
        <v>16445.240000000002</v>
      </c>
      <c r="E9" s="22">
        <f>9420.05+5551.22</f>
        <v>14971.27</v>
      </c>
      <c r="F9" s="22"/>
      <c r="G9" s="360">
        <f t="shared" si="0"/>
        <v>81481.73</v>
      </c>
      <c r="H9" s="361">
        <f>G9*20%</f>
        <v>16296.346</v>
      </c>
      <c r="I9" s="305">
        <v>0.2</v>
      </c>
      <c r="J9" s="21" t="s">
        <v>69</v>
      </c>
      <c r="K9" s="310">
        <f t="shared" si="1"/>
        <v>16296.346</v>
      </c>
      <c r="L9" s="21"/>
      <c r="N9" s="17"/>
      <c r="O9" s="116">
        <f>'fluxo caixa dez 2025'!N10-G9</f>
        <v>-81481.73</v>
      </c>
      <c r="P9" s="17"/>
      <c r="Q9" s="25"/>
      <c r="R9" s="138" t="s">
        <v>150</v>
      </c>
      <c r="S9" s="138" t="s">
        <v>151</v>
      </c>
      <c r="T9" s="138"/>
      <c r="U9" s="138"/>
      <c r="V9" s="143" t="s">
        <v>223</v>
      </c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</row>
    <row r="10" spans="1:40" x14ac:dyDescent="0.3">
      <c r="A10" s="216" t="s">
        <v>77</v>
      </c>
      <c r="B10" s="215" t="s">
        <v>76</v>
      </c>
      <c r="C10" s="22">
        <f>156.57+852.85+9390.58+5449.96+8945.84</f>
        <v>24795.8</v>
      </c>
      <c r="D10" s="22">
        <v>0</v>
      </c>
      <c r="E10" s="22">
        <f>157230.09+58762.83</f>
        <v>215992.91999999998</v>
      </c>
      <c r="F10" s="22"/>
      <c r="G10" s="360">
        <f t="shared" si="0"/>
        <v>240788.71999999997</v>
      </c>
      <c r="H10" s="361">
        <f>G10*20%</f>
        <v>48157.743999999999</v>
      </c>
      <c r="I10" s="305">
        <v>0.2</v>
      </c>
      <c r="J10" s="21" t="s">
        <v>69</v>
      </c>
      <c r="K10" s="310">
        <f>H10-4118.25</f>
        <v>44039.493999999999</v>
      </c>
      <c r="L10" s="21"/>
      <c r="N10" s="17"/>
      <c r="O10" s="116">
        <f>'fluxo caixa dez 2025'!N11-G10</f>
        <v>-240788.71999999997</v>
      </c>
      <c r="P10" s="17"/>
      <c r="Q10" s="25"/>
      <c r="R10" s="138" t="s">
        <v>165</v>
      </c>
      <c r="S10" s="138" t="s">
        <v>166</v>
      </c>
      <c r="T10" s="138"/>
      <c r="U10" s="138"/>
      <c r="V10" s="138" t="s">
        <v>167</v>
      </c>
      <c r="W10" s="138"/>
      <c r="X10" s="138"/>
      <c r="Y10" s="138" t="s">
        <v>168</v>
      </c>
      <c r="AA10" s="138"/>
      <c r="AB10" s="138" t="s">
        <v>169</v>
      </c>
      <c r="AD10" s="138"/>
      <c r="AE10" s="138" t="s">
        <v>198</v>
      </c>
      <c r="AF10" s="138"/>
      <c r="AG10" s="138"/>
      <c r="AH10" s="138" t="s">
        <v>199</v>
      </c>
      <c r="AI10" s="138"/>
      <c r="AJ10" s="138"/>
      <c r="AK10" s="138"/>
      <c r="AM10" s="138"/>
      <c r="AN10" s="138"/>
    </row>
    <row r="11" spans="1:40" x14ac:dyDescent="0.3">
      <c r="A11" s="216" t="s">
        <v>287</v>
      </c>
      <c r="B11" s="215" t="s">
        <v>60</v>
      </c>
      <c r="C11" s="22"/>
      <c r="D11" s="22"/>
      <c r="E11" s="22"/>
      <c r="F11" s="22"/>
      <c r="G11" s="360">
        <f t="shared" si="0"/>
        <v>0</v>
      </c>
      <c r="H11" s="361">
        <f>G11*20%</f>
        <v>0</v>
      </c>
      <c r="I11" s="305">
        <v>0</v>
      </c>
      <c r="J11" s="21" t="s">
        <v>69</v>
      </c>
      <c r="K11" s="310">
        <f t="shared" si="1"/>
        <v>0</v>
      </c>
      <c r="L11" s="21"/>
      <c r="N11" s="17">
        <f>'fluxo caixa dez 2025'!M12-G11</f>
        <v>0</v>
      </c>
      <c r="O11" s="116">
        <f>'fluxo caixa dez 2025'!N12-G11</f>
        <v>0</v>
      </c>
      <c r="P11" s="17"/>
      <c r="Q11" s="25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</row>
    <row r="12" spans="1:40" x14ac:dyDescent="0.3">
      <c r="A12" s="216" t="s">
        <v>79</v>
      </c>
      <c r="B12" s="215" t="s">
        <v>84</v>
      </c>
      <c r="C12" s="267">
        <f>78.19+19197.87+2439.97</f>
        <v>21716.03</v>
      </c>
      <c r="D12" s="267">
        <f>11220.42+2420.38</f>
        <v>13640.8</v>
      </c>
      <c r="E12" s="267">
        <f>20125.8+9405.29</f>
        <v>29531.09</v>
      </c>
      <c r="F12" s="267"/>
      <c r="G12" s="360">
        <f t="shared" si="0"/>
        <v>64887.92</v>
      </c>
      <c r="H12" s="362">
        <f>G12*15%</f>
        <v>9733.1880000000001</v>
      </c>
      <c r="I12" s="305">
        <v>0.15</v>
      </c>
      <c r="J12" s="21" t="s">
        <v>69</v>
      </c>
      <c r="K12" s="310">
        <f t="shared" si="1"/>
        <v>9733.1880000000001</v>
      </c>
      <c r="L12" s="37"/>
      <c r="N12" s="17">
        <f>'fluxo caixa dez 2025'!M13-G12</f>
        <v>-64887.92</v>
      </c>
      <c r="O12" s="116">
        <f>'fluxo caixa dez 2025'!N13</f>
        <v>0</v>
      </c>
      <c r="P12" s="17"/>
      <c r="Q12" s="25"/>
      <c r="R12" s="138" t="s">
        <v>170</v>
      </c>
      <c r="S12" s="138" t="s">
        <v>171</v>
      </c>
      <c r="T12" s="138"/>
      <c r="U12" s="138"/>
      <c r="V12" s="138" t="s">
        <v>172</v>
      </c>
      <c r="W12" s="138"/>
      <c r="X12" s="138"/>
      <c r="Y12" s="138"/>
      <c r="Z12" s="138"/>
      <c r="AA12" s="138"/>
      <c r="AB12" s="138" t="s">
        <v>202</v>
      </c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</row>
    <row r="13" spans="1:40" x14ac:dyDescent="0.3">
      <c r="A13" s="216" t="s">
        <v>80</v>
      </c>
      <c r="B13" s="215" t="s">
        <v>85</v>
      </c>
      <c r="C13" s="267">
        <f>98562.18+219.33</f>
        <v>98781.51</v>
      </c>
      <c r="D13" s="267">
        <f>57431.51+12295.37</f>
        <v>69726.880000000005</v>
      </c>
      <c r="E13" s="267">
        <f>197425.47+73233.17</f>
        <v>270658.64</v>
      </c>
      <c r="F13" s="267"/>
      <c r="G13" s="360">
        <f>C13+D13+E13</f>
        <v>439167.03</v>
      </c>
      <c r="H13" s="362">
        <f>G13*15%</f>
        <v>65875.054499999998</v>
      </c>
      <c r="I13" s="305">
        <v>0.15</v>
      </c>
      <c r="J13" s="21" t="s">
        <v>69</v>
      </c>
      <c r="K13" s="310">
        <f>H13+2815.4</f>
        <v>68690.454499999993</v>
      </c>
      <c r="L13" s="37"/>
      <c r="N13" s="17">
        <v>0</v>
      </c>
      <c r="O13" s="116">
        <v>0</v>
      </c>
      <c r="P13" s="95">
        <f>Controle!K17-E13-12932.11</f>
        <v>39267.931199999977</v>
      </c>
      <c r="Q13" s="140"/>
      <c r="R13" s="138" t="s">
        <v>145</v>
      </c>
      <c r="S13" s="138" t="s">
        <v>146</v>
      </c>
      <c r="T13" s="138"/>
      <c r="U13" s="138"/>
      <c r="V13" s="138" t="s">
        <v>188</v>
      </c>
      <c r="W13" s="138"/>
      <c r="Y13" s="138" t="s">
        <v>189</v>
      </c>
      <c r="Z13" s="138"/>
      <c r="AB13" s="138" t="s">
        <v>200</v>
      </c>
      <c r="AC13" s="138"/>
      <c r="AE13" s="138" t="s">
        <v>201</v>
      </c>
      <c r="AF13" s="138"/>
      <c r="AH13" s="138"/>
      <c r="AI13" s="138"/>
      <c r="AJ13" s="138"/>
      <c r="AK13" s="138"/>
      <c r="AL13" s="138"/>
      <c r="AM13" s="138"/>
      <c r="AN13" s="138"/>
    </row>
    <row r="14" spans="1:40" x14ac:dyDescent="0.3">
      <c r="A14" s="216" t="s">
        <v>82</v>
      </c>
      <c r="B14" s="215" t="s">
        <v>86</v>
      </c>
      <c r="C14" s="267">
        <f>142.36+12909.35+20446.58</f>
        <v>33498.29</v>
      </c>
      <c r="D14" s="267">
        <f>23086.57+5012.17</f>
        <v>28098.739999999998</v>
      </c>
      <c r="E14" s="267">
        <f>67555.94+26480.14</f>
        <v>94036.08</v>
      </c>
      <c r="F14" s="267"/>
      <c r="G14" s="360">
        <f>SUM(C14:E14)</f>
        <v>155633.10999999999</v>
      </c>
      <c r="H14" s="362">
        <f>G14*20%</f>
        <v>31126.621999999999</v>
      </c>
      <c r="I14" s="305">
        <v>0.2</v>
      </c>
      <c r="J14" s="21" t="s">
        <v>69</v>
      </c>
      <c r="K14" s="310">
        <f t="shared" si="1"/>
        <v>31126.621999999999</v>
      </c>
      <c r="L14" s="37"/>
      <c r="N14" s="17">
        <f>'fluxo caixa dez 2025'!M15-G14</f>
        <v>-155633.10999999999</v>
      </c>
      <c r="O14" s="116">
        <v>0</v>
      </c>
      <c r="R14" s="138" t="s">
        <v>173</v>
      </c>
      <c r="S14" s="138" t="s">
        <v>174</v>
      </c>
      <c r="T14" s="138"/>
      <c r="U14" s="138"/>
      <c r="V14" s="138" t="s">
        <v>175</v>
      </c>
      <c r="W14" s="138"/>
      <c r="X14" s="138"/>
      <c r="Y14" s="138" t="s">
        <v>190</v>
      </c>
      <c r="AA14" s="138"/>
      <c r="AB14" s="143" t="s">
        <v>234</v>
      </c>
      <c r="AC14" s="138"/>
      <c r="AD14" s="138"/>
      <c r="AE14" s="143" t="s">
        <v>235</v>
      </c>
      <c r="AF14" s="138"/>
      <c r="AG14" s="138"/>
      <c r="AH14" s="138"/>
      <c r="AI14" s="138"/>
      <c r="AJ14" s="138"/>
      <c r="AK14" s="138"/>
      <c r="AL14" s="138"/>
      <c r="AM14" s="138"/>
      <c r="AN14" s="138"/>
    </row>
    <row r="15" spans="1:40" x14ac:dyDescent="0.3">
      <c r="A15" s="216" t="s">
        <v>83</v>
      </c>
      <c r="B15" s="215" t="s">
        <v>87</v>
      </c>
      <c r="C15" s="267">
        <v>2762.4</v>
      </c>
      <c r="D15" s="267"/>
      <c r="E15" s="267">
        <f>62937.17+24817.38</f>
        <v>87754.55</v>
      </c>
      <c r="F15" s="267"/>
      <c r="G15" s="360">
        <f>SUM(C15:E15)</f>
        <v>90516.95</v>
      </c>
      <c r="H15" s="362">
        <f>G15*20%</f>
        <v>18103.39</v>
      </c>
      <c r="I15" s="305">
        <v>0.2</v>
      </c>
      <c r="J15" s="21" t="s">
        <v>69</v>
      </c>
      <c r="K15" s="310">
        <f t="shared" si="1"/>
        <v>18103.39</v>
      </c>
      <c r="L15" s="37"/>
      <c r="N15" s="17">
        <v>0</v>
      </c>
      <c r="O15" s="116">
        <f>'fluxo caixa dez 2025'!N16-G15+26019.92</f>
        <v>63988.89</v>
      </c>
      <c r="P15" s="17"/>
      <c r="Q15" s="25"/>
      <c r="R15" s="138" t="s">
        <v>161</v>
      </c>
      <c r="S15" s="143" t="s">
        <v>230</v>
      </c>
      <c r="T15" s="138"/>
      <c r="U15" s="138"/>
      <c r="V15" s="143" t="s">
        <v>231</v>
      </c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</row>
    <row r="16" spans="1:40" x14ac:dyDescent="0.3">
      <c r="A16" s="216" t="s">
        <v>122</v>
      </c>
      <c r="B16" s="215" t="s">
        <v>123</v>
      </c>
      <c r="C16" s="267">
        <f>31376.89+2720.16</f>
        <v>34097.050000000003</v>
      </c>
      <c r="D16" s="267">
        <f>50774.67+11023.45</f>
        <v>61798.119999999995</v>
      </c>
      <c r="E16" s="268">
        <f>186463.07+69286.7</f>
        <v>255749.77000000002</v>
      </c>
      <c r="F16" s="268"/>
      <c r="G16" s="360">
        <f>C16+D16+E16</f>
        <v>351644.94</v>
      </c>
      <c r="H16" s="362">
        <f>G16*20%</f>
        <v>70328.987999999998</v>
      </c>
      <c r="I16" s="305">
        <v>0.2</v>
      </c>
      <c r="J16" s="21" t="s">
        <v>69</v>
      </c>
      <c r="K16" s="310">
        <f t="shared" si="1"/>
        <v>70328.987999999998</v>
      </c>
      <c r="L16" s="37"/>
      <c r="N16" s="17"/>
      <c r="O16" s="116">
        <f>'fluxo caixa dez 2025'!N17-G16+33872.15</f>
        <v>1291363.07</v>
      </c>
      <c r="P16" s="17"/>
      <c r="Q16" s="25"/>
      <c r="R16" s="138" t="s">
        <v>147</v>
      </c>
      <c r="S16" s="138" t="s">
        <v>148</v>
      </c>
      <c r="T16" s="138"/>
      <c r="U16" s="138"/>
      <c r="V16" s="138" t="s">
        <v>149</v>
      </c>
      <c r="X16" s="138"/>
      <c r="Y16" s="143" t="s">
        <v>232</v>
      </c>
      <c r="Z16" s="138"/>
      <c r="AA16" s="138"/>
      <c r="AB16" s="143" t="s">
        <v>233</v>
      </c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</row>
    <row r="17" spans="1:40" x14ac:dyDescent="0.3">
      <c r="A17" s="62" t="s">
        <v>52</v>
      </c>
      <c r="B17" s="82" t="s">
        <v>59</v>
      </c>
      <c r="C17" s="267">
        <f>716191.64+167391.14+2377.65+10949.55+492+106.61+164</f>
        <v>897672.59000000008</v>
      </c>
      <c r="D17" s="267">
        <v>0</v>
      </c>
      <c r="E17" s="268"/>
      <c r="F17" s="268"/>
      <c r="G17" s="360">
        <f t="shared" ref="G17:G27" si="2">C17+D17+E17</f>
        <v>897672.59000000008</v>
      </c>
      <c r="H17" s="362">
        <f>G17*10%</f>
        <v>89767.25900000002</v>
      </c>
      <c r="I17" s="306">
        <v>0.1</v>
      </c>
      <c r="J17" s="21" t="s">
        <v>69</v>
      </c>
      <c r="K17" s="310">
        <f t="shared" si="1"/>
        <v>89767.25900000002</v>
      </c>
      <c r="L17" s="37"/>
      <c r="N17" s="17">
        <v>0</v>
      </c>
      <c r="O17" s="77">
        <v>0</v>
      </c>
      <c r="P17" s="17">
        <f>Controle!K27-'fluxo caixa jan 2026'!G17</f>
        <v>340788.8899999999</v>
      </c>
      <c r="Q17" s="25"/>
      <c r="R17" s="138" t="s">
        <v>176</v>
      </c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</row>
    <row r="18" spans="1:40" x14ac:dyDescent="0.3">
      <c r="A18" s="216" t="s">
        <v>136</v>
      </c>
      <c r="B18" s="215" t="s">
        <v>137</v>
      </c>
      <c r="C18" s="267">
        <f>100455.18+26388.95+13.27+258.23</f>
        <v>127115.62999999999</v>
      </c>
      <c r="D18" s="267">
        <f>112707.04+24198.56</f>
        <v>136905.60000000001</v>
      </c>
      <c r="E18" s="268">
        <f>90050.68+34578.25</f>
        <v>124628.93</v>
      </c>
      <c r="F18" s="268"/>
      <c r="G18" s="360">
        <f t="shared" si="2"/>
        <v>388650.16</v>
      </c>
      <c r="H18" s="362">
        <f>G18*15%</f>
        <v>58297.523999999998</v>
      </c>
      <c r="I18" s="305">
        <v>0.15</v>
      </c>
      <c r="J18" s="21" t="s">
        <v>69</v>
      </c>
      <c r="K18" s="310">
        <f t="shared" si="1"/>
        <v>58297.523999999998</v>
      </c>
      <c r="L18" s="37"/>
      <c r="N18" s="17"/>
      <c r="O18" s="116">
        <f>Controle!J33</f>
        <v>1146481.03</v>
      </c>
      <c r="P18" s="17">
        <v>0</v>
      </c>
      <c r="Q18" s="25"/>
      <c r="R18" s="138" t="s">
        <v>191</v>
      </c>
      <c r="S18" s="138" t="s">
        <v>192</v>
      </c>
      <c r="T18" s="138"/>
      <c r="U18" s="138"/>
      <c r="V18" s="138" t="s">
        <v>193</v>
      </c>
      <c r="W18" s="138"/>
      <c r="X18" s="138"/>
      <c r="Y18" s="138" t="s">
        <v>194</v>
      </c>
      <c r="Z18" s="138"/>
      <c r="AA18" s="138"/>
      <c r="AB18" s="138" t="s">
        <v>195</v>
      </c>
      <c r="AC18" s="138"/>
      <c r="AD18" s="138"/>
      <c r="AE18" s="138" t="s">
        <v>203</v>
      </c>
      <c r="AF18" s="138"/>
      <c r="AG18" s="138"/>
      <c r="AH18" s="138" t="s">
        <v>204</v>
      </c>
      <c r="AI18" s="138"/>
      <c r="AJ18" s="138"/>
      <c r="AK18" s="138"/>
      <c r="AL18" s="138"/>
      <c r="AM18" s="138"/>
      <c r="AN18" s="138"/>
    </row>
    <row r="19" spans="1:40" x14ac:dyDescent="0.3">
      <c r="A19" s="216" t="s">
        <v>55</v>
      </c>
      <c r="B19" s="215" t="s">
        <v>62</v>
      </c>
      <c r="C19" s="267">
        <v>0</v>
      </c>
      <c r="D19" s="267">
        <v>0</v>
      </c>
      <c r="E19" s="268">
        <f>17017.27+8286.22</f>
        <v>25303.489999999998</v>
      </c>
      <c r="F19" s="268"/>
      <c r="G19" s="360">
        <f>C19+D19+E19+F19</f>
        <v>25303.489999999998</v>
      </c>
      <c r="H19" s="362">
        <f t="shared" ref="H19:H24" si="3">G19*12.5%</f>
        <v>3162.9362499999997</v>
      </c>
      <c r="I19" s="305">
        <v>0.125</v>
      </c>
      <c r="J19" s="21" t="s">
        <v>69</v>
      </c>
      <c r="K19" s="310">
        <f t="shared" si="1"/>
        <v>3162.9362499999997</v>
      </c>
      <c r="L19" s="37"/>
      <c r="N19" s="17">
        <v>0</v>
      </c>
      <c r="O19" s="116">
        <f>Controle!J29-G19+2283.29</f>
        <v>397192.20999999996</v>
      </c>
      <c r="P19" s="17">
        <f>Controle!K29</f>
        <v>2283.29</v>
      </c>
      <c r="Q19" s="25"/>
      <c r="R19" s="138" t="s">
        <v>205</v>
      </c>
      <c r="S19" s="143" t="s">
        <v>241</v>
      </c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</row>
    <row r="20" spans="1:40" x14ac:dyDescent="0.3">
      <c r="A20" s="216" t="s">
        <v>135</v>
      </c>
      <c r="B20" s="215" t="s">
        <v>138</v>
      </c>
      <c r="C20" s="267">
        <v>0</v>
      </c>
      <c r="D20" s="267">
        <v>0</v>
      </c>
      <c r="E20" s="268">
        <f>171542.24+63915.21</f>
        <v>235457.44999999998</v>
      </c>
      <c r="F20" s="268">
        <f>13964.06+13964.06+5747.06+5747.06+2674.68+6498.87</f>
        <v>48595.79</v>
      </c>
      <c r="G20" s="360">
        <f>C20+D20+E20+F20</f>
        <v>284053.24</v>
      </c>
      <c r="H20" s="362">
        <f t="shared" si="3"/>
        <v>35506.654999999999</v>
      </c>
      <c r="I20" s="305">
        <v>0.125</v>
      </c>
      <c r="J20" s="21" t="s">
        <v>69</v>
      </c>
      <c r="K20" s="310">
        <f t="shared" si="1"/>
        <v>35506.654999999999</v>
      </c>
      <c r="L20" s="37"/>
      <c r="N20" s="17">
        <f>Controle!I30</f>
        <v>415594.12</v>
      </c>
      <c r="O20" s="116">
        <f>Controle!J30-G20+65444.12+12131.07</f>
        <v>38152.970200000011</v>
      </c>
      <c r="P20" s="17"/>
      <c r="Q20" s="25"/>
      <c r="R20" s="138" t="s">
        <v>206</v>
      </c>
      <c r="S20" s="138" t="s">
        <v>207</v>
      </c>
      <c r="T20" s="138"/>
      <c r="U20" s="138"/>
      <c r="V20" s="138" t="s">
        <v>219</v>
      </c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</row>
    <row r="21" spans="1:40" x14ac:dyDescent="0.3">
      <c r="A21" s="216" t="s">
        <v>54</v>
      </c>
      <c r="B21" s="215" t="s">
        <v>61</v>
      </c>
      <c r="C21" s="267">
        <v>0</v>
      </c>
      <c r="D21" s="267">
        <v>0</v>
      </c>
      <c r="E21" s="268">
        <f>74334.87+28920.55</f>
        <v>103255.42</v>
      </c>
      <c r="F21" s="268">
        <f>7894.9+16999.48</f>
        <v>24894.379999999997</v>
      </c>
      <c r="G21" s="360">
        <f>C21+D21+E21+F21</f>
        <v>128149.79999999999</v>
      </c>
      <c r="H21" s="362">
        <f t="shared" si="3"/>
        <v>16018.724999999999</v>
      </c>
      <c r="I21" s="305">
        <v>0.125</v>
      </c>
      <c r="J21" s="21" t="s">
        <v>69</v>
      </c>
      <c r="K21" s="310">
        <f t="shared" si="1"/>
        <v>16018.724999999999</v>
      </c>
      <c r="L21" s="37"/>
      <c r="N21" s="17">
        <v>0</v>
      </c>
      <c r="O21" s="116">
        <f>Controle!J31</f>
        <v>956644.91</v>
      </c>
      <c r="P21" s="17">
        <f>Controle!K31-'fluxo caixa jan 2026'!G21</f>
        <v>94838.460000000021</v>
      </c>
      <c r="Q21" s="25"/>
      <c r="R21" s="138" t="s">
        <v>181</v>
      </c>
      <c r="S21" s="138" t="s">
        <v>209</v>
      </c>
      <c r="U21" s="138"/>
      <c r="V21" s="138"/>
      <c r="W21" s="138"/>
      <c r="X21" s="138"/>
      <c r="Y21" s="138"/>
      <c r="Z21" s="138"/>
      <c r="AA21" s="138"/>
      <c r="AB21" s="138"/>
      <c r="AC21" s="138"/>
      <c r="AD21" s="139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</row>
    <row r="22" spans="1:40" x14ac:dyDescent="0.3">
      <c r="A22" s="216" t="s">
        <v>58</v>
      </c>
      <c r="B22" s="215" t="s">
        <v>65</v>
      </c>
      <c r="C22" s="267">
        <v>0</v>
      </c>
      <c r="D22" s="267">
        <v>0</v>
      </c>
      <c r="E22" s="268">
        <f>33633.61+14268.1</f>
        <v>47901.71</v>
      </c>
      <c r="F22" s="268">
        <f>3599.96+3599.96+2159.97+2159.97+1005.25+1675.42</f>
        <v>14200.529999999999</v>
      </c>
      <c r="G22" s="360">
        <f t="shared" ref="G22:G24" si="4">C22+D22+E22+F22</f>
        <v>62102.239999999998</v>
      </c>
      <c r="H22" s="362">
        <f t="shared" si="3"/>
        <v>7762.78</v>
      </c>
      <c r="I22" s="305">
        <v>0.125</v>
      </c>
      <c r="J22" s="21" t="s">
        <v>69</v>
      </c>
      <c r="K22" s="310">
        <f t="shared" si="1"/>
        <v>7762.78</v>
      </c>
      <c r="L22" s="37"/>
      <c r="N22" s="17">
        <v>0</v>
      </c>
      <c r="O22" s="116">
        <f>Controle!J32-G22+4879.67</f>
        <v>255300.25000000003</v>
      </c>
      <c r="P22" s="17">
        <v>0</v>
      </c>
      <c r="Q22" s="25"/>
      <c r="R22" s="138" t="s">
        <v>210</v>
      </c>
      <c r="S22" s="138" t="s">
        <v>212</v>
      </c>
      <c r="T22" s="138"/>
      <c r="U22" s="138"/>
      <c r="V22" s="138" t="s">
        <v>211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</row>
    <row r="23" spans="1:40" x14ac:dyDescent="0.3">
      <c r="A23" s="216" t="s">
        <v>57</v>
      </c>
      <c r="B23" s="215" t="s">
        <v>64</v>
      </c>
      <c r="C23" s="267">
        <v>0</v>
      </c>
      <c r="D23" s="267">
        <v>0</v>
      </c>
      <c r="E23" s="268">
        <f>130100.69+48996.25</f>
        <v>179096.94</v>
      </c>
      <c r="F23" s="268">
        <f>8736.67+8736.67+3865.2+3865.2+1798.86+4066.05</f>
        <v>31068.65</v>
      </c>
      <c r="G23" s="360">
        <f t="shared" si="4"/>
        <v>210165.59</v>
      </c>
      <c r="H23" s="362">
        <f t="shared" si="3"/>
        <v>26270.69875</v>
      </c>
      <c r="I23" s="305">
        <v>0.125</v>
      </c>
      <c r="J23" s="21" t="s">
        <v>69</v>
      </c>
      <c r="K23" s="310">
        <f t="shared" si="1"/>
        <v>26270.69875</v>
      </c>
      <c r="L23" s="37"/>
      <c r="N23" s="183">
        <f>Controle!I33-'fluxo caixa jan 2026'!G23</f>
        <v>70294.709999999992</v>
      </c>
      <c r="O23" s="116">
        <f>Controle!J33</f>
        <v>1146481.03</v>
      </c>
      <c r="P23" s="17">
        <f>Controle!K33+'fluxo caixa jan 2026'!N23</f>
        <v>244184.66999999998</v>
      </c>
      <c r="Q23" s="25"/>
      <c r="R23" s="138" t="s">
        <v>215</v>
      </c>
      <c r="S23" s="138" t="s">
        <v>213</v>
      </c>
      <c r="T23" s="138"/>
      <c r="U23" s="138"/>
      <c r="V23" s="138" t="s">
        <v>214</v>
      </c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</row>
    <row r="24" spans="1:40" x14ac:dyDescent="0.3">
      <c r="A24" s="216" t="s">
        <v>56</v>
      </c>
      <c r="B24" s="215" t="s">
        <v>63</v>
      </c>
      <c r="C24" s="267"/>
      <c r="D24" s="267">
        <v>0</v>
      </c>
      <c r="E24" s="268">
        <f>32652.16+13914.78</f>
        <v>46566.94</v>
      </c>
      <c r="F24" s="268">
        <f>2036.94+2036.94+1222.16+1222.16+568.79+948</f>
        <v>8034.99</v>
      </c>
      <c r="G24" s="360">
        <f t="shared" si="4"/>
        <v>54601.93</v>
      </c>
      <c r="H24" s="362">
        <f t="shared" si="3"/>
        <v>6825.24125</v>
      </c>
      <c r="I24" s="305">
        <v>0.125</v>
      </c>
      <c r="J24" s="21" t="s">
        <v>69</v>
      </c>
      <c r="K24" s="310">
        <f t="shared" si="1"/>
        <v>6825.24125</v>
      </c>
      <c r="L24" s="37"/>
      <c r="N24" s="17">
        <f>Controle!I34-G24</f>
        <v>35958.07</v>
      </c>
      <c r="O24" s="116">
        <v>0</v>
      </c>
      <c r="P24" s="17">
        <f>Controle!K34</f>
        <v>38213.9182</v>
      </c>
      <c r="Q24" s="25"/>
      <c r="R24" s="138" t="s">
        <v>216</v>
      </c>
      <c r="S24" s="138" t="s">
        <v>217</v>
      </c>
      <c r="U24" s="138"/>
      <c r="V24" s="138" t="s">
        <v>218</v>
      </c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</row>
    <row r="25" spans="1:40" x14ac:dyDescent="0.3">
      <c r="A25" s="216" t="s">
        <v>152</v>
      </c>
      <c r="B25" s="215" t="s">
        <v>153</v>
      </c>
      <c r="C25" s="267">
        <f>12616.09</f>
        <v>12616.09</v>
      </c>
      <c r="D25" s="267">
        <v>0</v>
      </c>
      <c r="E25" s="268">
        <v>0</v>
      </c>
      <c r="F25" s="268">
        <v>0</v>
      </c>
      <c r="G25" s="360">
        <f t="shared" si="2"/>
        <v>12616.09</v>
      </c>
      <c r="H25" s="362">
        <f t="shared" ref="H25:H39" si="5">G25*20%</f>
        <v>2523.2180000000003</v>
      </c>
      <c r="I25" s="305">
        <v>0.2</v>
      </c>
      <c r="J25" s="21" t="s">
        <v>69</v>
      </c>
      <c r="K25" s="310">
        <f t="shared" si="1"/>
        <v>2523.2180000000003</v>
      </c>
      <c r="L25" s="37"/>
      <c r="N25" s="17">
        <f>Controle!I35-'fluxo caixa jan 2026'!G25</f>
        <v>1037527.63</v>
      </c>
      <c r="O25" s="116">
        <f>Controle!J35</f>
        <v>127712.31</v>
      </c>
      <c r="P25" s="17"/>
      <c r="Q25" s="25"/>
      <c r="R25" s="138" t="s">
        <v>162</v>
      </c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</row>
    <row r="26" spans="1:40" x14ac:dyDescent="0.3">
      <c r="A26" s="216" t="s">
        <v>157</v>
      </c>
      <c r="B26" s="215" t="s">
        <v>158</v>
      </c>
      <c r="C26" s="267">
        <v>944.88</v>
      </c>
      <c r="D26" s="267">
        <v>0</v>
      </c>
      <c r="E26" s="268"/>
      <c r="F26" s="268">
        <v>0</v>
      </c>
      <c r="G26" s="360">
        <f t="shared" si="2"/>
        <v>944.88</v>
      </c>
      <c r="H26" s="362">
        <f t="shared" si="5"/>
        <v>188.976</v>
      </c>
      <c r="I26" s="305">
        <v>0.2</v>
      </c>
      <c r="J26" s="21" t="s">
        <v>69</v>
      </c>
      <c r="K26" s="310">
        <f t="shared" si="1"/>
        <v>188.976</v>
      </c>
      <c r="L26" s="37"/>
      <c r="N26" s="17">
        <f>Controle!I36-'fluxo caixa jan 2026'!G26</f>
        <v>357673.02999999997</v>
      </c>
      <c r="O26" s="116">
        <f>Controle!J36</f>
        <v>206005.26</v>
      </c>
      <c r="P26" s="17"/>
      <c r="Q26" s="25"/>
      <c r="R26" s="138" t="s">
        <v>163</v>
      </c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</row>
    <row r="27" spans="1:40" x14ac:dyDescent="0.3">
      <c r="A27" s="216" t="s">
        <v>154</v>
      </c>
      <c r="B27" s="215" t="s">
        <v>155</v>
      </c>
      <c r="C27" s="267">
        <f>4471.52+1055.9</f>
        <v>5527.42</v>
      </c>
      <c r="D27" s="267">
        <v>0</v>
      </c>
      <c r="E27" s="268">
        <v>0</v>
      </c>
      <c r="F27" s="268">
        <v>0</v>
      </c>
      <c r="G27" s="360">
        <f t="shared" si="2"/>
        <v>5527.42</v>
      </c>
      <c r="H27" s="362">
        <f t="shared" si="5"/>
        <v>1105.4840000000002</v>
      </c>
      <c r="I27" s="305">
        <v>0.2</v>
      </c>
      <c r="J27" s="21" t="s">
        <v>69</v>
      </c>
      <c r="K27" s="310">
        <f t="shared" si="1"/>
        <v>1105.4840000000002</v>
      </c>
      <c r="L27" s="37"/>
      <c r="N27" s="17">
        <f>Controle!I37-'fluxo caixa jan 2026'!G27</f>
        <v>671527.19</v>
      </c>
      <c r="O27" s="116">
        <f>Controle!J37</f>
        <v>61872.72</v>
      </c>
      <c r="P27" s="17"/>
      <c r="Q27" s="25"/>
      <c r="R27" s="138" t="s">
        <v>164</v>
      </c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</row>
    <row r="28" spans="1:40" x14ac:dyDescent="0.3">
      <c r="A28" s="216" t="s">
        <v>236</v>
      </c>
      <c r="B28" s="215" t="s">
        <v>237</v>
      </c>
      <c r="C28" s="267">
        <v>0</v>
      </c>
      <c r="D28" s="267">
        <v>0</v>
      </c>
      <c r="E28" s="268">
        <f>12003.43+6481.23</f>
        <v>18484.66</v>
      </c>
      <c r="F28" s="268">
        <v>0</v>
      </c>
      <c r="G28" s="360">
        <f>C28+D28+E28+F28</f>
        <v>18484.66</v>
      </c>
      <c r="H28" s="362">
        <f t="shared" si="5"/>
        <v>3696.9320000000002</v>
      </c>
      <c r="I28" s="305">
        <v>0.2</v>
      </c>
      <c r="J28" s="21" t="s">
        <v>69</v>
      </c>
      <c r="K28" s="310">
        <f t="shared" si="1"/>
        <v>3696.9320000000002</v>
      </c>
      <c r="L28" s="37"/>
      <c r="M28" s="37"/>
      <c r="N28" s="17">
        <f>Controle!I39-'fluxo caixa jan 2026'!G28</f>
        <v>163551.1</v>
      </c>
      <c r="O28" s="116"/>
      <c r="P28" s="17"/>
      <c r="Q28" s="25"/>
      <c r="R28" s="143" t="s">
        <v>242</v>
      </c>
    </row>
    <row r="29" spans="1:40" x14ac:dyDescent="0.3">
      <c r="A29" s="216" t="s">
        <v>238</v>
      </c>
      <c r="B29" s="215" t="s">
        <v>239</v>
      </c>
      <c r="C29" s="267">
        <v>0</v>
      </c>
      <c r="D29" s="267">
        <v>0</v>
      </c>
      <c r="E29" s="268">
        <f>6049.24+3629.54</f>
        <v>9678.7799999999988</v>
      </c>
      <c r="F29" s="268">
        <v>0</v>
      </c>
      <c r="G29" s="360">
        <f>C29+D29+E29+F29</f>
        <v>9678.7799999999988</v>
      </c>
      <c r="H29" s="362">
        <f t="shared" si="5"/>
        <v>1935.7559999999999</v>
      </c>
      <c r="I29" s="305">
        <v>0.2</v>
      </c>
      <c r="J29" s="21" t="s">
        <v>69</v>
      </c>
      <c r="K29" s="310">
        <f>H29</f>
        <v>1935.7559999999999</v>
      </c>
      <c r="L29" s="37"/>
      <c r="M29" s="37"/>
      <c r="N29" s="17">
        <f>Controle!I40-'fluxo caixa jan 2026'!G29</f>
        <v>101066.62</v>
      </c>
      <c r="O29" s="116"/>
      <c r="P29" s="17"/>
      <c r="Q29" s="25"/>
      <c r="R29" s="143" t="s">
        <v>243</v>
      </c>
      <c r="S29" s="143" t="s">
        <v>244</v>
      </c>
    </row>
    <row r="30" spans="1:40" s="110" customFormat="1" x14ac:dyDescent="0.3">
      <c r="A30" s="216" t="s">
        <v>248</v>
      </c>
      <c r="B30" s="215" t="s">
        <v>251</v>
      </c>
      <c r="C30" s="267">
        <v>0</v>
      </c>
      <c r="D30" s="267">
        <v>0</v>
      </c>
      <c r="E30" s="267">
        <v>0</v>
      </c>
      <c r="F30" s="267">
        <v>0</v>
      </c>
      <c r="G30" s="360">
        <f t="shared" ref="G30:G39" si="6">C30+D30+E30+F30</f>
        <v>0</v>
      </c>
      <c r="H30" s="362">
        <f t="shared" si="5"/>
        <v>0</v>
      </c>
      <c r="I30" s="314">
        <v>0</v>
      </c>
      <c r="J30" s="21" t="s">
        <v>69</v>
      </c>
      <c r="K30" s="281"/>
      <c r="L30" s="30"/>
      <c r="M30" s="131"/>
      <c r="N30" s="112">
        <f>SUM(N4:N27)</f>
        <v>7644101.0299999993</v>
      </c>
      <c r="O30" s="112">
        <f>SUM(O4:O27)</f>
        <v>6216958.6801999994</v>
      </c>
      <c r="P30" s="112">
        <f>SUM(P4:P27)</f>
        <v>759577.15939999977</v>
      </c>
      <c r="Q30" s="112">
        <f>N30+O30+P30</f>
        <v>14620636.869599998</v>
      </c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</row>
    <row r="31" spans="1:40" x14ac:dyDescent="0.3">
      <c r="A31" s="216" t="s">
        <v>249</v>
      </c>
      <c r="B31" s="215" t="s">
        <v>250</v>
      </c>
      <c r="C31" s="267">
        <v>0</v>
      </c>
      <c r="D31" s="267">
        <v>0</v>
      </c>
      <c r="E31" s="267">
        <v>0</v>
      </c>
      <c r="F31" s="267">
        <v>0</v>
      </c>
      <c r="G31" s="360">
        <f t="shared" si="6"/>
        <v>0</v>
      </c>
      <c r="H31" s="362">
        <f t="shared" si="5"/>
        <v>0</v>
      </c>
      <c r="I31" s="314">
        <v>0</v>
      </c>
      <c r="J31" s="21" t="s">
        <v>69</v>
      </c>
      <c r="K31" s="311"/>
      <c r="L31" s="30"/>
      <c r="M31" s="69"/>
      <c r="N31" s="9"/>
    </row>
    <row r="32" spans="1:40" x14ac:dyDescent="0.3">
      <c r="A32" s="216" t="s">
        <v>253</v>
      </c>
      <c r="B32" s="219" t="s">
        <v>259</v>
      </c>
      <c r="C32" s="267">
        <v>0</v>
      </c>
      <c r="D32" s="267">
        <v>0</v>
      </c>
      <c r="E32" s="267">
        <v>0</v>
      </c>
      <c r="F32" s="267">
        <v>0</v>
      </c>
      <c r="G32" s="360">
        <f t="shared" si="6"/>
        <v>0</v>
      </c>
      <c r="H32" s="362">
        <f t="shared" si="5"/>
        <v>0</v>
      </c>
      <c r="I32" s="314">
        <v>0</v>
      </c>
      <c r="J32" s="21" t="s">
        <v>69</v>
      </c>
      <c r="K32" s="273"/>
      <c r="L32" s="69"/>
      <c r="N32" s="41">
        <f>N30+O30+P30</f>
        <v>14620636.869599998</v>
      </c>
    </row>
    <row r="33" spans="1:18" x14ac:dyDescent="0.3">
      <c r="A33" s="216" t="s">
        <v>255</v>
      </c>
      <c r="B33" s="219" t="s">
        <v>263</v>
      </c>
      <c r="C33" s="267">
        <v>0</v>
      </c>
      <c r="D33" s="267">
        <v>0</v>
      </c>
      <c r="E33" s="267">
        <v>0</v>
      </c>
      <c r="F33" s="267">
        <v>0</v>
      </c>
      <c r="G33" s="360">
        <f t="shared" si="6"/>
        <v>0</v>
      </c>
      <c r="H33" s="362">
        <f t="shared" si="5"/>
        <v>0</v>
      </c>
      <c r="I33" s="314">
        <v>0</v>
      </c>
      <c r="J33" s="21" t="s">
        <v>69</v>
      </c>
      <c r="K33" s="273"/>
      <c r="L33" s="69"/>
      <c r="M33" s="41"/>
      <c r="N33" s="41"/>
    </row>
    <row r="34" spans="1:18" x14ac:dyDescent="0.3">
      <c r="A34" s="271" t="s">
        <v>272</v>
      </c>
      <c r="B34" s="219" t="s">
        <v>274</v>
      </c>
      <c r="C34" s="267">
        <v>0</v>
      </c>
      <c r="D34" s="267">
        <v>0</v>
      </c>
      <c r="E34" s="267">
        <v>0</v>
      </c>
      <c r="F34" s="267">
        <v>0</v>
      </c>
      <c r="G34" s="360">
        <f t="shared" si="6"/>
        <v>0</v>
      </c>
      <c r="H34" s="362">
        <f t="shared" si="5"/>
        <v>0</v>
      </c>
      <c r="I34" s="314">
        <v>0</v>
      </c>
      <c r="J34" s="21" t="s">
        <v>69</v>
      </c>
      <c r="K34" s="273"/>
      <c r="L34" s="69"/>
      <c r="M34" s="69"/>
      <c r="N34" s="41"/>
      <c r="O34" s="69"/>
    </row>
    <row r="35" spans="1:18" x14ac:dyDescent="0.3">
      <c r="A35" s="220" t="s">
        <v>260</v>
      </c>
      <c r="B35" s="219" t="s">
        <v>261</v>
      </c>
      <c r="C35" s="267">
        <v>0</v>
      </c>
      <c r="D35" s="267">
        <v>0</v>
      </c>
      <c r="E35" s="267">
        <v>0</v>
      </c>
      <c r="F35" s="267">
        <v>0</v>
      </c>
      <c r="G35" s="360">
        <f t="shared" si="6"/>
        <v>0</v>
      </c>
      <c r="H35" s="362">
        <f t="shared" si="5"/>
        <v>0</v>
      </c>
      <c r="I35" s="314">
        <v>0</v>
      </c>
      <c r="J35" s="21" t="s">
        <v>69</v>
      </c>
      <c r="K35" s="273"/>
      <c r="L35" s="69"/>
      <c r="M35" s="69">
        <v>590</v>
      </c>
      <c r="N35" s="41"/>
      <c r="O35" s="69"/>
    </row>
    <row r="36" spans="1:18" x14ac:dyDescent="0.3">
      <c r="A36" s="221" t="s">
        <v>273</v>
      </c>
      <c r="B36" s="213" t="s">
        <v>277</v>
      </c>
      <c r="C36" s="267">
        <v>0</v>
      </c>
      <c r="D36" s="267">
        <v>0</v>
      </c>
      <c r="E36" s="267">
        <v>0</v>
      </c>
      <c r="F36" s="267">
        <v>0</v>
      </c>
      <c r="G36" s="360">
        <f t="shared" si="6"/>
        <v>0</v>
      </c>
      <c r="H36" s="362">
        <f t="shared" si="5"/>
        <v>0</v>
      </c>
      <c r="I36" s="314">
        <v>0</v>
      </c>
      <c r="J36" s="21" t="s">
        <v>69</v>
      </c>
      <c r="K36" s="56"/>
      <c r="M36" s="41">
        <v>560</v>
      </c>
      <c r="O36" s="69"/>
    </row>
    <row r="37" spans="1:18" x14ac:dyDescent="0.3">
      <c r="A37" s="221" t="s">
        <v>283</v>
      </c>
      <c r="B37" s="213" t="s">
        <v>284</v>
      </c>
      <c r="C37" s="267">
        <v>0</v>
      </c>
      <c r="D37" s="267">
        <v>0</v>
      </c>
      <c r="E37" s="267">
        <v>0</v>
      </c>
      <c r="F37" s="267">
        <v>0</v>
      </c>
      <c r="G37" s="360">
        <f t="shared" si="6"/>
        <v>0</v>
      </c>
      <c r="H37" s="362">
        <f t="shared" si="5"/>
        <v>0</v>
      </c>
      <c r="I37" s="314">
        <v>0</v>
      </c>
      <c r="J37" s="21" t="s">
        <v>69</v>
      </c>
      <c r="K37" s="273"/>
      <c r="M37">
        <v>2011</v>
      </c>
      <c r="N37" s="69"/>
    </row>
    <row r="38" spans="1:18" x14ac:dyDescent="0.3">
      <c r="A38" s="220" t="s">
        <v>270</v>
      </c>
      <c r="B38" s="219" t="s">
        <v>275</v>
      </c>
      <c r="C38" s="267">
        <v>0</v>
      </c>
      <c r="D38" s="267">
        <v>0</v>
      </c>
      <c r="E38" s="267">
        <v>0</v>
      </c>
      <c r="F38" s="267">
        <v>0</v>
      </c>
      <c r="G38" s="360">
        <f t="shared" si="6"/>
        <v>0</v>
      </c>
      <c r="H38" s="362">
        <f t="shared" si="5"/>
        <v>0</v>
      </c>
      <c r="I38" s="314">
        <v>0</v>
      </c>
      <c r="J38" s="21" t="s">
        <v>69</v>
      </c>
      <c r="K38" s="273"/>
      <c r="M38">
        <v>98</v>
      </c>
      <c r="N38" s="9"/>
    </row>
    <row r="39" spans="1:18" x14ac:dyDescent="0.3">
      <c r="A39" s="220" t="s">
        <v>271</v>
      </c>
      <c r="B39" s="219" t="s">
        <v>276</v>
      </c>
      <c r="C39" s="267">
        <v>0</v>
      </c>
      <c r="D39" s="267">
        <v>0</v>
      </c>
      <c r="E39" s="267">
        <v>0</v>
      </c>
      <c r="F39" s="267">
        <v>0</v>
      </c>
      <c r="G39" s="360">
        <f t="shared" si="6"/>
        <v>0</v>
      </c>
      <c r="H39" s="362">
        <f t="shared" si="5"/>
        <v>0</v>
      </c>
      <c r="I39" s="314">
        <v>0</v>
      </c>
      <c r="J39" s="21" t="s">
        <v>69</v>
      </c>
      <c r="K39" s="279"/>
      <c r="N39" s="9"/>
    </row>
    <row r="40" spans="1:18" x14ac:dyDescent="0.3">
      <c r="A40" s="315" t="s">
        <v>35</v>
      </c>
      <c r="B40" s="315"/>
      <c r="C40" s="316">
        <f>SUM(C4:C39)</f>
        <v>1683163.46</v>
      </c>
      <c r="D40" s="316">
        <f t="shared" ref="D40:H40" si="7">SUM(D4:D39)</f>
        <v>576258.29</v>
      </c>
      <c r="E40" s="316">
        <f t="shared" si="7"/>
        <v>2150032.2599999998</v>
      </c>
      <c r="F40" s="316">
        <f t="shared" si="7"/>
        <v>135272.26999999999</v>
      </c>
      <c r="G40" s="362">
        <f t="shared" si="7"/>
        <v>4544726.28</v>
      </c>
      <c r="H40" s="362">
        <f t="shared" si="7"/>
        <v>655302.70275000017</v>
      </c>
      <c r="I40" s="306"/>
      <c r="J40" s="21" t="s">
        <v>69</v>
      </c>
      <c r="K40" s="1"/>
      <c r="N40" s="9"/>
      <c r="R40" s="96">
        <f>11343.59+431.16+4537.43</f>
        <v>16312.18</v>
      </c>
    </row>
    <row r="41" spans="1:18" x14ac:dyDescent="0.3">
      <c r="N41" s="9"/>
      <c r="R41" s="96">
        <f>R40+6806.15</f>
        <v>23118.33</v>
      </c>
    </row>
    <row r="42" spans="1:18" x14ac:dyDescent="0.3">
      <c r="N42" s="9"/>
    </row>
    <row r="43" spans="1:18" x14ac:dyDescent="0.3">
      <c r="N43" s="9"/>
    </row>
    <row r="44" spans="1:18" x14ac:dyDescent="0.3">
      <c r="N44" s="9"/>
    </row>
    <row r="45" spans="1:18" x14ac:dyDescent="0.3">
      <c r="N45" s="9"/>
    </row>
    <row r="46" spans="1:18" x14ac:dyDescent="0.3">
      <c r="N46" s="9"/>
    </row>
    <row r="47" spans="1:18" x14ac:dyDescent="0.3">
      <c r="N47" s="9"/>
    </row>
    <row r="48" spans="1:18" x14ac:dyDescent="0.3">
      <c r="N48" s="9"/>
    </row>
    <row r="49" spans="14:14" x14ac:dyDescent="0.3">
      <c r="N49" s="9"/>
    </row>
    <row r="50" spans="14:14" x14ac:dyDescent="0.3">
      <c r="N50" s="9"/>
    </row>
    <row r="51" spans="14:14" x14ac:dyDescent="0.3">
      <c r="N51" s="9"/>
    </row>
    <row r="52" spans="14:14" x14ac:dyDescent="0.3">
      <c r="N52" s="9"/>
    </row>
    <row r="53" spans="14:14" x14ac:dyDescent="0.3">
      <c r="N53" s="9"/>
    </row>
    <row r="54" spans="14:14" x14ac:dyDescent="0.3">
      <c r="N54" s="9"/>
    </row>
    <row r="55" spans="14:14" x14ac:dyDescent="0.3">
      <c r="N55" s="9"/>
    </row>
    <row r="56" spans="14:14" x14ac:dyDescent="0.3">
      <c r="N56" s="9"/>
    </row>
    <row r="57" spans="14:14" x14ac:dyDescent="0.3">
      <c r="N57" s="9"/>
    </row>
    <row r="58" spans="14:14" x14ac:dyDescent="0.3">
      <c r="N58" s="9"/>
    </row>
    <row r="59" spans="14:14" x14ac:dyDescent="0.3">
      <c r="N59" s="9"/>
    </row>
    <row r="60" spans="14:14" x14ac:dyDescent="0.3">
      <c r="N60" s="9"/>
    </row>
    <row r="61" spans="14:14" x14ac:dyDescent="0.3">
      <c r="N61" s="9"/>
    </row>
    <row r="62" spans="14:14" x14ac:dyDescent="0.3">
      <c r="N62" s="9"/>
    </row>
    <row r="63" spans="14:14" x14ac:dyDescent="0.3">
      <c r="N63" s="9"/>
    </row>
    <row r="64" spans="14:14" x14ac:dyDescent="0.3">
      <c r="N64" s="9"/>
    </row>
    <row r="65" spans="14:14" x14ac:dyDescent="0.3">
      <c r="N65" s="9"/>
    </row>
    <row r="66" spans="14:14" x14ac:dyDescent="0.3">
      <c r="N66" s="9"/>
    </row>
    <row r="67" spans="14:14" x14ac:dyDescent="0.3">
      <c r="N67" s="9"/>
    </row>
    <row r="68" spans="14:14" x14ac:dyDescent="0.3">
      <c r="N68" s="9"/>
    </row>
    <row r="69" spans="14:14" x14ac:dyDescent="0.3">
      <c r="N69" s="9"/>
    </row>
    <row r="70" spans="14:14" x14ac:dyDescent="0.3">
      <c r="N70" s="9"/>
    </row>
    <row r="71" spans="14:14" x14ac:dyDescent="0.3">
      <c r="N71" s="9"/>
    </row>
    <row r="72" spans="14:14" x14ac:dyDescent="0.3">
      <c r="N72" s="9"/>
    </row>
    <row r="73" spans="14:14" x14ac:dyDescent="0.3">
      <c r="N73" s="9"/>
    </row>
    <row r="74" spans="14:14" x14ac:dyDescent="0.3">
      <c r="N74" s="9"/>
    </row>
    <row r="75" spans="14:14" x14ac:dyDescent="0.3">
      <c r="N75" s="9"/>
    </row>
    <row r="76" spans="14:14" x14ac:dyDescent="0.3">
      <c r="N76" s="9"/>
    </row>
    <row r="77" spans="14:14" x14ac:dyDescent="0.3">
      <c r="N77" s="9"/>
    </row>
    <row r="78" spans="14:14" x14ac:dyDescent="0.3">
      <c r="N78" s="9"/>
    </row>
    <row r="79" spans="14:14" x14ac:dyDescent="0.3">
      <c r="N79" s="9"/>
    </row>
    <row r="80" spans="14:14" x14ac:dyDescent="0.3">
      <c r="N80" s="9"/>
    </row>
    <row r="81" spans="14:14" x14ac:dyDescent="0.3">
      <c r="N81" s="9"/>
    </row>
    <row r="82" spans="14:14" x14ac:dyDescent="0.3">
      <c r="N82" s="9"/>
    </row>
    <row r="83" spans="14:14" x14ac:dyDescent="0.3">
      <c r="N83" s="9"/>
    </row>
    <row r="84" spans="14:14" x14ac:dyDescent="0.3">
      <c r="N84" s="9"/>
    </row>
    <row r="85" spans="14:14" x14ac:dyDescent="0.3">
      <c r="N85" s="9"/>
    </row>
    <row r="86" spans="14:14" x14ac:dyDescent="0.3">
      <c r="N86" s="9"/>
    </row>
    <row r="87" spans="14:14" x14ac:dyDescent="0.3">
      <c r="N87" s="9"/>
    </row>
    <row r="88" spans="14:14" x14ac:dyDescent="0.3">
      <c r="N88" s="9"/>
    </row>
    <row r="89" spans="14:14" x14ac:dyDescent="0.3">
      <c r="N89" s="9"/>
    </row>
    <row r="90" spans="14:14" x14ac:dyDescent="0.3">
      <c r="N90" s="9"/>
    </row>
    <row r="91" spans="14:14" x14ac:dyDescent="0.3">
      <c r="N91" s="9"/>
    </row>
    <row r="92" spans="14:14" x14ac:dyDescent="0.3">
      <c r="N92" s="9"/>
    </row>
    <row r="93" spans="14:14" x14ac:dyDescent="0.3">
      <c r="N93" s="9"/>
    </row>
    <row r="94" spans="14:14" x14ac:dyDescent="0.3">
      <c r="N94" s="9"/>
    </row>
    <row r="95" spans="14:14" x14ac:dyDescent="0.3">
      <c r="N95" s="9"/>
    </row>
    <row r="96" spans="14:14" x14ac:dyDescent="0.3">
      <c r="N96" s="9"/>
    </row>
    <row r="97" spans="14:14" x14ac:dyDescent="0.3">
      <c r="N97" s="9"/>
    </row>
    <row r="98" spans="14:14" x14ac:dyDescent="0.3">
      <c r="N98" s="9"/>
    </row>
    <row r="99" spans="14:14" x14ac:dyDescent="0.3">
      <c r="N99" s="9"/>
    </row>
    <row r="100" spans="14:14" x14ac:dyDescent="0.3">
      <c r="N100" s="9"/>
    </row>
    <row r="101" spans="14:14" x14ac:dyDescent="0.3">
      <c r="N101" s="9"/>
    </row>
    <row r="102" spans="14:14" x14ac:dyDescent="0.3">
      <c r="N102" s="9"/>
    </row>
    <row r="103" spans="14:14" x14ac:dyDescent="0.3">
      <c r="N103" s="9"/>
    </row>
    <row r="104" spans="14:14" x14ac:dyDescent="0.3">
      <c r="N104" s="9"/>
    </row>
    <row r="105" spans="14:14" x14ac:dyDescent="0.3">
      <c r="N105" s="9"/>
    </row>
    <row r="106" spans="14:14" x14ac:dyDescent="0.3">
      <c r="N106" s="9"/>
    </row>
    <row r="107" spans="14:14" x14ac:dyDescent="0.3">
      <c r="N107" s="9"/>
    </row>
    <row r="108" spans="14:14" x14ac:dyDescent="0.3">
      <c r="N108" s="9"/>
    </row>
    <row r="109" spans="14:14" x14ac:dyDescent="0.3">
      <c r="N109" s="9"/>
    </row>
    <row r="110" spans="14:14" x14ac:dyDescent="0.3">
      <c r="N110" s="9"/>
    </row>
    <row r="111" spans="14:14" x14ac:dyDescent="0.3">
      <c r="N111" s="9"/>
    </row>
    <row r="112" spans="14:14" x14ac:dyDescent="0.3">
      <c r="N112" s="9"/>
    </row>
    <row r="113" spans="14:14" x14ac:dyDescent="0.3">
      <c r="N113" s="9"/>
    </row>
    <row r="114" spans="14:14" x14ac:dyDescent="0.3">
      <c r="N114" s="9"/>
    </row>
    <row r="115" spans="14:14" x14ac:dyDescent="0.3">
      <c r="N115" s="9"/>
    </row>
    <row r="116" spans="14:14" x14ac:dyDescent="0.3">
      <c r="N116" s="9"/>
    </row>
    <row r="117" spans="14:14" x14ac:dyDescent="0.3">
      <c r="N117" s="9"/>
    </row>
    <row r="118" spans="14:14" x14ac:dyDescent="0.3">
      <c r="N118" s="9"/>
    </row>
    <row r="119" spans="14:14" x14ac:dyDescent="0.3">
      <c r="N119" s="9"/>
    </row>
    <row r="120" spans="14:14" x14ac:dyDescent="0.3">
      <c r="N120" s="9"/>
    </row>
    <row r="121" spans="14:14" x14ac:dyDescent="0.3">
      <c r="N121" s="9"/>
    </row>
    <row r="122" spans="14:14" x14ac:dyDescent="0.3">
      <c r="N122" s="9"/>
    </row>
    <row r="123" spans="14:14" x14ac:dyDescent="0.3">
      <c r="N123" s="9"/>
    </row>
    <row r="124" spans="14:14" x14ac:dyDescent="0.3">
      <c r="N124" s="9"/>
    </row>
    <row r="125" spans="14:14" x14ac:dyDescent="0.3">
      <c r="N125" s="9"/>
    </row>
    <row r="126" spans="14:14" x14ac:dyDescent="0.3">
      <c r="N126" s="9"/>
    </row>
    <row r="127" spans="14:14" x14ac:dyDescent="0.3">
      <c r="N127" s="9"/>
    </row>
    <row r="128" spans="14:14" x14ac:dyDescent="0.3">
      <c r="N128" s="9"/>
    </row>
    <row r="129" spans="14:14" x14ac:dyDescent="0.3">
      <c r="N129" s="9"/>
    </row>
    <row r="130" spans="14:14" x14ac:dyDescent="0.3">
      <c r="N130" s="9"/>
    </row>
    <row r="131" spans="14:14" x14ac:dyDescent="0.3">
      <c r="N131" s="9"/>
    </row>
    <row r="132" spans="14:14" x14ac:dyDescent="0.3">
      <c r="N132" s="9"/>
    </row>
    <row r="133" spans="14:14" x14ac:dyDescent="0.3">
      <c r="N133" s="9"/>
    </row>
    <row r="134" spans="14:14" x14ac:dyDescent="0.3">
      <c r="N134" s="9"/>
    </row>
    <row r="135" spans="14:14" x14ac:dyDescent="0.3">
      <c r="N135" s="9"/>
    </row>
    <row r="136" spans="14:14" x14ac:dyDescent="0.3">
      <c r="N136" s="9"/>
    </row>
    <row r="137" spans="14:14" x14ac:dyDescent="0.3">
      <c r="N137" s="9"/>
    </row>
    <row r="138" spans="14:14" x14ac:dyDescent="0.3">
      <c r="N138" s="9"/>
    </row>
    <row r="139" spans="14:14" x14ac:dyDescent="0.3">
      <c r="N139" s="9"/>
    </row>
    <row r="140" spans="14:14" x14ac:dyDescent="0.3">
      <c r="N140" s="9"/>
    </row>
    <row r="141" spans="14:14" x14ac:dyDescent="0.3">
      <c r="N141" s="9"/>
    </row>
    <row r="142" spans="14:14" x14ac:dyDescent="0.3">
      <c r="N142" s="9"/>
    </row>
    <row r="143" spans="14:14" x14ac:dyDescent="0.3">
      <c r="N143" s="9"/>
    </row>
    <row r="144" spans="14:14" x14ac:dyDescent="0.3">
      <c r="N144" s="9"/>
    </row>
    <row r="145" spans="14:14" x14ac:dyDescent="0.3">
      <c r="N145" s="9"/>
    </row>
    <row r="146" spans="14:14" x14ac:dyDescent="0.3">
      <c r="N146" s="9"/>
    </row>
    <row r="147" spans="14:14" x14ac:dyDescent="0.3">
      <c r="N147" s="9"/>
    </row>
    <row r="148" spans="14:14" x14ac:dyDescent="0.3">
      <c r="N148" s="9"/>
    </row>
    <row r="149" spans="14:14" x14ac:dyDescent="0.3">
      <c r="N149" s="9"/>
    </row>
    <row r="150" spans="14:14" x14ac:dyDescent="0.3">
      <c r="N150" s="9"/>
    </row>
    <row r="151" spans="14:14" x14ac:dyDescent="0.3">
      <c r="N151" s="9"/>
    </row>
    <row r="152" spans="14:14" x14ac:dyDescent="0.3">
      <c r="N152" s="9"/>
    </row>
    <row r="153" spans="14:14" x14ac:dyDescent="0.3">
      <c r="N153" s="9"/>
    </row>
    <row r="154" spans="14:14" x14ac:dyDescent="0.3">
      <c r="N154" s="9"/>
    </row>
    <row r="155" spans="14:14" x14ac:dyDescent="0.3">
      <c r="N155" s="9"/>
    </row>
    <row r="156" spans="14:14" x14ac:dyDescent="0.3">
      <c r="N156" s="9"/>
    </row>
    <row r="157" spans="14:14" x14ac:dyDescent="0.3">
      <c r="N157" s="9"/>
    </row>
    <row r="158" spans="14:14" x14ac:dyDescent="0.3">
      <c r="N158" s="9"/>
    </row>
    <row r="159" spans="14:14" x14ac:dyDescent="0.3">
      <c r="N159" s="9"/>
    </row>
    <row r="160" spans="14:14" x14ac:dyDescent="0.3">
      <c r="N160" s="9"/>
    </row>
    <row r="161" spans="14:14" x14ac:dyDescent="0.3">
      <c r="N161" s="9"/>
    </row>
    <row r="162" spans="14:14" x14ac:dyDescent="0.3">
      <c r="N162" s="9"/>
    </row>
    <row r="163" spans="14:14" x14ac:dyDescent="0.3">
      <c r="N163" s="9"/>
    </row>
    <row r="164" spans="14:14" x14ac:dyDescent="0.3">
      <c r="N164" s="9"/>
    </row>
    <row r="165" spans="14:14" x14ac:dyDescent="0.3">
      <c r="N165" s="9"/>
    </row>
    <row r="166" spans="14:14" x14ac:dyDescent="0.3">
      <c r="N166" s="9"/>
    </row>
    <row r="167" spans="14:14" x14ac:dyDescent="0.3">
      <c r="N167" s="9"/>
    </row>
    <row r="168" spans="14:14" x14ac:dyDescent="0.3">
      <c r="N168" s="9"/>
    </row>
    <row r="169" spans="14:14" x14ac:dyDescent="0.3">
      <c r="N169" s="9"/>
    </row>
    <row r="170" spans="14:14" x14ac:dyDescent="0.3">
      <c r="N170" s="9"/>
    </row>
    <row r="171" spans="14:14" x14ac:dyDescent="0.3">
      <c r="N171" s="9"/>
    </row>
    <row r="172" spans="14:14" x14ac:dyDescent="0.3">
      <c r="N172" s="9"/>
    </row>
    <row r="173" spans="14:14" x14ac:dyDescent="0.3">
      <c r="N173" s="9"/>
    </row>
    <row r="174" spans="14:14" x14ac:dyDescent="0.3">
      <c r="N174" s="9"/>
    </row>
    <row r="175" spans="14:14" x14ac:dyDescent="0.3">
      <c r="N175" s="9"/>
    </row>
    <row r="176" spans="14:14" x14ac:dyDescent="0.3">
      <c r="N176" s="9"/>
    </row>
    <row r="177" spans="14:14" x14ac:dyDescent="0.3">
      <c r="N177" s="9"/>
    </row>
    <row r="178" spans="14:14" x14ac:dyDescent="0.3">
      <c r="N178" s="9"/>
    </row>
    <row r="179" spans="14:14" x14ac:dyDescent="0.3">
      <c r="N179" s="9"/>
    </row>
    <row r="180" spans="14:14" x14ac:dyDescent="0.3">
      <c r="N180" s="9"/>
    </row>
    <row r="181" spans="14:14" x14ac:dyDescent="0.3">
      <c r="N181" s="9"/>
    </row>
    <row r="182" spans="14:14" x14ac:dyDescent="0.3">
      <c r="N182" s="9"/>
    </row>
    <row r="183" spans="14:14" x14ac:dyDescent="0.3">
      <c r="N183" s="9"/>
    </row>
    <row r="184" spans="14:14" x14ac:dyDescent="0.3">
      <c r="N184" s="9"/>
    </row>
    <row r="185" spans="14:14" x14ac:dyDescent="0.3">
      <c r="N185" s="9"/>
    </row>
    <row r="186" spans="14:14" x14ac:dyDescent="0.3">
      <c r="N186" s="9"/>
    </row>
    <row r="187" spans="14:14" x14ac:dyDescent="0.3">
      <c r="N187" s="9"/>
    </row>
    <row r="188" spans="14:14" x14ac:dyDescent="0.3">
      <c r="N188" s="9"/>
    </row>
    <row r="189" spans="14:14" x14ac:dyDescent="0.3">
      <c r="N189" s="9"/>
    </row>
    <row r="190" spans="14:14" x14ac:dyDescent="0.3">
      <c r="N190" s="9"/>
    </row>
    <row r="191" spans="14:14" x14ac:dyDescent="0.3">
      <c r="N191" s="9"/>
    </row>
    <row r="192" spans="14:14" x14ac:dyDescent="0.3">
      <c r="N192" s="9"/>
    </row>
    <row r="193" spans="14:14" x14ac:dyDescent="0.3">
      <c r="N193" s="9"/>
    </row>
    <row r="194" spans="14:14" x14ac:dyDescent="0.3">
      <c r="N194" s="9"/>
    </row>
    <row r="195" spans="14:14" x14ac:dyDescent="0.3">
      <c r="N195" s="9"/>
    </row>
    <row r="196" spans="14:14" x14ac:dyDescent="0.3">
      <c r="N196" s="9"/>
    </row>
    <row r="197" spans="14:14" x14ac:dyDescent="0.3">
      <c r="N197" s="9"/>
    </row>
    <row r="198" spans="14:14" x14ac:dyDescent="0.3">
      <c r="N198" s="9"/>
    </row>
    <row r="199" spans="14:14" x14ac:dyDescent="0.3">
      <c r="N199" s="9"/>
    </row>
    <row r="200" spans="14:14" x14ac:dyDescent="0.3">
      <c r="N200" s="9"/>
    </row>
    <row r="201" spans="14:14" x14ac:dyDescent="0.3">
      <c r="N201" s="9"/>
    </row>
    <row r="202" spans="14:14" x14ac:dyDescent="0.3">
      <c r="N202" s="9"/>
    </row>
    <row r="203" spans="14:14" x14ac:dyDescent="0.3">
      <c r="N203" s="9"/>
    </row>
    <row r="204" spans="14:14" x14ac:dyDescent="0.3">
      <c r="N204" s="9"/>
    </row>
    <row r="205" spans="14:14" x14ac:dyDescent="0.3">
      <c r="N205" s="9"/>
    </row>
    <row r="206" spans="14:14" x14ac:dyDescent="0.3">
      <c r="N206" s="9"/>
    </row>
    <row r="207" spans="14:14" x14ac:dyDescent="0.3">
      <c r="N207" s="9"/>
    </row>
    <row r="208" spans="14:14" x14ac:dyDescent="0.3">
      <c r="N208" s="9"/>
    </row>
    <row r="209" spans="14:14" x14ac:dyDescent="0.3">
      <c r="N209" s="9"/>
    </row>
    <row r="210" spans="14:14" x14ac:dyDescent="0.3">
      <c r="N210" s="9"/>
    </row>
    <row r="211" spans="14:14" x14ac:dyDescent="0.3">
      <c r="N211" s="9"/>
    </row>
    <row r="212" spans="14:14" x14ac:dyDescent="0.3">
      <c r="N212" s="9"/>
    </row>
    <row r="213" spans="14:14" x14ac:dyDescent="0.3">
      <c r="N213" s="9"/>
    </row>
    <row r="214" spans="14:14" x14ac:dyDescent="0.3">
      <c r="N214" s="9"/>
    </row>
    <row r="215" spans="14:14" x14ac:dyDescent="0.3">
      <c r="N215" s="9"/>
    </row>
    <row r="216" spans="14:14" x14ac:dyDescent="0.3">
      <c r="N216" s="9"/>
    </row>
    <row r="217" spans="14:14" x14ac:dyDescent="0.3">
      <c r="N217" s="9"/>
    </row>
    <row r="218" spans="14:14" x14ac:dyDescent="0.3">
      <c r="N218" s="9"/>
    </row>
    <row r="219" spans="14:14" x14ac:dyDescent="0.3">
      <c r="N219" s="9"/>
    </row>
    <row r="220" spans="14:14" x14ac:dyDescent="0.3">
      <c r="N220" s="9"/>
    </row>
    <row r="221" spans="14:14" x14ac:dyDescent="0.3">
      <c r="N221" s="9"/>
    </row>
    <row r="222" spans="14:14" x14ac:dyDescent="0.3">
      <c r="N222" s="9"/>
    </row>
    <row r="223" spans="14:14" x14ac:dyDescent="0.3">
      <c r="N223" s="9"/>
    </row>
    <row r="224" spans="14:14" x14ac:dyDescent="0.3">
      <c r="N224" s="9"/>
    </row>
    <row r="225" spans="14:14" x14ac:dyDescent="0.3">
      <c r="N225" s="9"/>
    </row>
    <row r="226" spans="14:14" x14ac:dyDescent="0.3">
      <c r="N226" s="9"/>
    </row>
    <row r="227" spans="14:14" x14ac:dyDescent="0.3">
      <c r="N227" s="9"/>
    </row>
    <row r="228" spans="14:14" x14ac:dyDescent="0.3">
      <c r="N228" s="9"/>
    </row>
    <row r="229" spans="14:14" x14ac:dyDescent="0.3">
      <c r="N229" s="9"/>
    </row>
    <row r="230" spans="14:14" x14ac:dyDescent="0.3">
      <c r="N230" s="9"/>
    </row>
    <row r="231" spans="14:14" x14ac:dyDescent="0.3">
      <c r="N231" s="9"/>
    </row>
    <row r="232" spans="14:14" x14ac:dyDescent="0.3">
      <c r="N232" s="9"/>
    </row>
    <row r="233" spans="14:14" x14ac:dyDescent="0.3">
      <c r="N233" s="9"/>
    </row>
    <row r="234" spans="14:14" x14ac:dyDescent="0.3">
      <c r="N234" s="9"/>
    </row>
    <row r="235" spans="14:14" x14ac:dyDescent="0.3">
      <c r="N235" s="9"/>
    </row>
    <row r="236" spans="14:14" x14ac:dyDescent="0.3">
      <c r="N236" s="9"/>
    </row>
    <row r="237" spans="14:14" x14ac:dyDescent="0.3">
      <c r="N237" s="9"/>
    </row>
    <row r="238" spans="14:14" x14ac:dyDescent="0.3">
      <c r="N238" s="9"/>
    </row>
    <row r="239" spans="14:14" x14ac:dyDescent="0.3">
      <c r="N239" s="9"/>
    </row>
    <row r="240" spans="14:14" x14ac:dyDescent="0.3">
      <c r="N240" s="9"/>
    </row>
    <row r="241" spans="14:14" x14ac:dyDescent="0.3">
      <c r="N241" s="9"/>
    </row>
    <row r="242" spans="14:14" x14ac:dyDescent="0.3">
      <c r="N242" s="9"/>
    </row>
    <row r="243" spans="14:14" x14ac:dyDescent="0.3">
      <c r="N243" s="9"/>
    </row>
    <row r="244" spans="14:14" x14ac:dyDescent="0.3">
      <c r="N244" s="9"/>
    </row>
    <row r="245" spans="14:14" x14ac:dyDescent="0.3">
      <c r="N245" s="9"/>
    </row>
    <row r="246" spans="14:14" x14ac:dyDescent="0.3">
      <c r="N246" s="9"/>
    </row>
    <row r="247" spans="14:14" x14ac:dyDescent="0.3">
      <c r="N247" s="9"/>
    </row>
    <row r="248" spans="14:14" x14ac:dyDescent="0.3">
      <c r="N248" s="9"/>
    </row>
    <row r="249" spans="14:14" x14ac:dyDescent="0.3">
      <c r="N249" s="9"/>
    </row>
    <row r="250" spans="14:14" x14ac:dyDescent="0.3">
      <c r="N250" s="9"/>
    </row>
    <row r="251" spans="14:14" x14ac:dyDescent="0.3">
      <c r="N251" s="9"/>
    </row>
    <row r="252" spans="14:14" x14ac:dyDescent="0.3">
      <c r="N252" s="9"/>
    </row>
    <row r="253" spans="14:14" x14ac:dyDescent="0.3">
      <c r="N253" s="9"/>
    </row>
    <row r="254" spans="14:14" x14ac:dyDescent="0.3">
      <c r="N254" s="9"/>
    </row>
    <row r="255" spans="14:14" x14ac:dyDescent="0.3">
      <c r="N255" s="9"/>
    </row>
    <row r="256" spans="14:14" x14ac:dyDescent="0.3">
      <c r="N256" s="9"/>
    </row>
    <row r="257" spans="14:14" x14ac:dyDescent="0.3">
      <c r="N257" s="9"/>
    </row>
    <row r="258" spans="14:14" x14ac:dyDescent="0.3">
      <c r="N258" s="9"/>
    </row>
    <row r="259" spans="14:14" x14ac:dyDescent="0.3">
      <c r="N259" s="9"/>
    </row>
    <row r="260" spans="14:14" x14ac:dyDescent="0.3">
      <c r="N260" s="9"/>
    </row>
    <row r="261" spans="14:14" x14ac:dyDescent="0.3">
      <c r="N261" s="9"/>
    </row>
    <row r="262" spans="14:14" x14ac:dyDescent="0.3">
      <c r="N262" s="9"/>
    </row>
    <row r="263" spans="14:14" x14ac:dyDescent="0.3">
      <c r="N263" s="9"/>
    </row>
    <row r="264" spans="14:14" x14ac:dyDescent="0.3">
      <c r="N264" s="9"/>
    </row>
    <row r="265" spans="14:14" x14ac:dyDescent="0.3">
      <c r="N265" s="9"/>
    </row>
    <row r="266" spans="14:14" x14ac:dyDescent="0.3">
      <c r="N266" s="9"/>
    </row>
    <row r="267" spans="14:14" x14ac:dyDescent="0.3">
      <c r="N267" s="9"/>
    </row>
    <row r="268" spans="14:14" x14ac:dyDescent="0.3">
      <c r="N268" s="9"/>
    </row>
    <row r="269" spans="14:14" x14ac:dyDescent="0.3">
      <c r="N269" s="9"/>
    </row>
    <row r="270" spans="14:14" x14ac:dyDescent="0.3">
      <c r="N270" s="9"/>
    </row>
    <row r="271" spans="14:14" x14ac:dyDescent="0.3">
      <c r="N271" s="9"/>
    </row>
    <row r="272" spans="14:14" x14ac:dyDescent="0.3">
      <c r="N272" s="9"/>
    </row>
    <row r="273" spans="14:14" x14ac:dyDescent="0.3">
      <c r="N273" s="9"/>
    </row>
    <row r="274" spans="14:14" x14ac:dyDescent="0.3">
      <c r="N274" s="9"/>
    </row>
    <row r="275" spans="14:14" x14ac:dyDescent="0.3">
      <c r="N275" s="9"/>
    </row>
    <row r="276" spans="14:14" x14ac:dyDescent="0.3">
      <c r="N276" s="9"/>
    </row>
    <row r="277" spans="14:14" x14ac:dyDescent="0.3">
      <c r="N277" s="9"/>
    </row>
    <row r="278" spans="14:14" x14ac:dyDescent="0.3">
      <c r="N278" s="9"/>
    </row>
    <row r="279" spans="14:14" x14ac:dyDescent="0.3">
      <c r="N279" s="9"/>
    </row>
    <row r="280" spans="14:14" x14ac:dyDescent="0.3">
      <c r="N280" s="9"/>
    </row>
    <row r="281" spans="14:14" x14ac:dyDescent="0.3">
      <c r="N281" s="9"/>
    </row>
    <row r="282" spans="14:14" x14ac:dyDescent="0.3">
      <c r="N282" s="9"/>
    </row>
    <row r="283" spans="14:14" x14ac:dyDescent="0.3">
      <c r="N283" s="9"/>
    </row>
    <row r="284" spans="14:14" x14ac:dyDescent="0.3">
      <c r="N284" s="9"/>
    </row>
    <row r="285" spans="14:14" x14ac:dyDescent="0.3">
      <c r="N285" s="9"/>
    </row>
    <row r="286" spans="14:14" x14ac:dyDescent="0.3">
      <c r="N286" s="9"/>
    </row>
    <row r="287" spans="14:14" x14ac:dyDescent="0.3">
      <c r="N287" s="9"/>
    </row>
    <row r="288" spans="14:14" x14ac:dyDescent="0.3">
      <c r="N288" s="9"/>
    </row>
    <row r="289" spans="14:14" x14ac:dyDescent="0.3">
      <c r="N289" s="9"/>
    </row>
    <row r="290" spans="14:14" x14ac:dyDescent="0.3">
      <c r="N290" s="9"/>
    </row>
    <row r="291" spans="14:14" x14ac:dyDescent="0.3">
      <c r="N291" s="9"/>
    </row>
    <row r="292" spans="14:14" x14ac:dyDescent="0.3">
      <c r="N292" s="9"/>
    </row>
    <row r="293" spans="14:14" x14ac:dyDescent="0.3">
      <c r="N293" s="9"/>
    </row>
    <row r="294" spans="14:14" x14ac:dyDescent="0.3">
      <c r="N294" s="9"/>
    </row>
    <row r="295" spans="14:14" x14ac:dyDescent="0.3">
      <c r="N295" s="9"/>
    </row>
    <row r="296" spans="14:14" x14ac:dyDescent="0.3">
      <c r="N296" s="9"/>
    </row>
    <row r="297" spans="14:14" x14ac:dyDescent="0.3">
      <c r="N297" s="9"/>
    </row>
    <row r="298" spans="14:14" x14ac:dyDescent="0.3">
      <c r="N298" s="9"/>
    </row>
    <row r="299" spans="14:14" x14ac:dyDescent="0.3">
      <c r="N299" s="9"/>
    </row>
    <row r="300" spans="14:14" x14ac:dyDescent="0.3">
      <c r="N300" s="9"/>
    </row>
    <row r="301" spans="14:14" x14ac:dyDescent="0.3">
      <c r="N301" s="9"/>
    </row>
    <row r="302" spans="14:14" x14ac:dyDescent="0.3">
      <c r="N302" s="9"/>
    </row>
    <row r="303" spans="14:14" x14ac:dyDescent="0.3">
      <c r="N303" s="9"/>
    </row>
    <row r="304" spans="14:14" x14ac:dyDescent="0.3">
      <c r="N304" s="9"/>
    </row>
    <row r="305" spans="14:14" x14ac:dyDescent="0.3">
      <c r="N305" s="9"/>
    </row>
    <row r="306" spans="14:14" x14ac:dyDescent="0.3">
      <c r="N306" s="9"/>
    </row>
    <row r="307" spans="14:14" x14ac:dyDescent="0.3">
      <c r="N307" s="9"/>
    </row>
    <row r="308" spans="14:14" x14ac:dyDescent="0.3">
      <c r="N308" s="9"/>
    </row>
    <row r="309" spans="14:14" x14ac:dyDescent="0.3">
      <c r="N309" s="9"/>
    </row>
    <row r="310" spans="14:14" x14ac:dyDescent="0.3">
      <c r="N310" s="9"/>
    </row>
    <row r="311" spans="14:14" x14ac:dyDescent="0.3">
      <c r="N311" s="9"/>
    </row>
    <row r="312" spans="14:14" x14ac:dyDescent="0.3">
      <c r="N312" s="9"/>
    </row>
    <row r="313" spans="14:14" x14ac:dyDescent="0.3">
      <c r="N313" s="9"/>
    </row>
    <row r="314" spans="14:14" x14ac:dyDescent="0.3">
      <c r="N314" s="9"/>
    </row>
    <row r="315" spans="14:14" x14ac:dyDescent="0.3">
      <c r="N315" s="9"/>
    </row>
    <row r="316" spans="14:14" x14ac:dyDescent="0.3">
      <c r="N316" s="9"/>
    </row>
    <row r="317" spans="14:14" x14ac:dyDescent="0.3">
      <c r="N317" s="9"/>
    </row>
    <row r="318" spans="14:14" x14ac:dyDescent="0.3">
      <c r="N318" s="9"/>
    </row>
    <row r="319" spans="14:14" x14ac:dyDescent="0.3">
      <c r="N319" s="9"/>
    </row>
    <row r="320" spans="14:14" x14ac:dyDescent="0.3">
      <c r="N320" s="9"/>
    </row>
    <row r="321" spans="14:14" x14ac:dyDescent="0.3">
      <c r="N321" s="9"/>
    </row>
    <row r="322" spans="14:14" x14ac:dyDescent="0.3">
      <c r="N322" s="9"/>
    </row>
    <row r="323" spans="14:14" x14ac:dyDescent="0.3">
      <c r="N323" s="9"/>
    </row>
    <row r="324" spans="14:14" x14ac:dyDescent="0.3">
      <c r="N324" s="9"/>
    </row>
    <row r="325" spans="14:14" x14ac:dyDescent="0.3">
      <c r="N325" s="9"/>
    </row>
    <row r="326" spans="14:14" x14ac:dyDescent="0.3">
      <c r="N326" s="9"/>
    </row>
    <row r="327" spans="14:14" x14ac:dyDescent="0.3">
      <c r="N327" s="9"/>
    </row>
    <row r="328" spans="14:14" x14ac:dyDescent="0.3">
      <c r="N328" s="9"/>
    </row>
    <row r="329" spans="14:14" x14ac:dyDescent="0.3">
      <c r="N329" s="9"/>
    </row>
    <row r="330" spans="14:14" x14ac:dyDescent="0.3">
      <c r="N330" s="9"/>
    </row>
    <row r="331" spans="14:14" x14ac:dyDescent="0.3">
      <c r="N331" s="9"/>
    </row>
    <row r="332" spans="14:14" x14ac:dyDescent="0.3">
      <c r="N332" s="9"/>
    </row>
    <row r="333" spans="14:14" x14ac:dyDescent="0.3">
      <c r="N333" s="9"/>
    </row>
    <row r="334" spans="14:14" x14ac:dyDescent="0.3">
      <c r="N334" s="9"/>
    </row>
    <row r="335" spans="14:14" x14ac:dyDescent="0.3">
      <c r="N335" s="9"/>
    </row>
    <row r="336" spans="14:14" x14ac:dyDescent="0.3">
      <c r="N336" s="9"/>
    </row>
    <row r="337" spans="14:14" x14ac:dyDescent="0.3">
      <c r="N337" s="9"/>
    </row>
    <row r="338" spans="14:14" x14ac:dyDescent="0.3">
      <c r="N338" s="9"/>
    </row>
    <row r="339" spans="14:14" x14ac:dyDescent="0.3">
      <c r="N339" s="9"/>
    </row>
    <row r="340" spans="14:14" x14ac:dyDescent="0.3">
      <c r="N340" s="9"/>
    </row>
    <row r="341" spans="14:14" x14ac:dyDescent="0.3">
      <c r="N341" s="9"/>
    </row>
    <row r="342" spans="14:14" x14ac:dyDescent="0.3">
      <c r="N342" s="9"/>
    </row>
    <row r="343" spans="14:14" x14ac:dyDescent="0.3">
      <c r="N343" s="9"/>
    </row>
    <row r="344" spans="14:14" x14ac:dyDescent="0.3">
      <c r="N344" s="9"/>
    </row>
    <row r="345" spans="14:14" x14ac:dyDescent="0.3">
      <c r="N345" s="9"/>
    </row>
    <row r="346" spans="14:14" x14ac:dyDescent="0.3">
      <c r="N346" s="9"/>
    </row>
    <row r="347" spans="14:14" x14ac:dyDescent="0.3">
      <c r="N347" s="9"/>
    </row>
    <row r="348" spans="14:14" x14ac:dyDescent="0.3">
      <c r="N348" s="9"/>
    </row>
    <row r="349" spans="14:14" x14ac:dyDescent="0.3">
      <c r="N349" s="9"/>
    </row>
    <row r="350" spans="14:14" x14ac:dyDescent="0.3">
      <c r="N350" s="9"/>
    </row>
    <row r="351" spans="14:14" x14ac:dyDescent="0.3">
      <c r="N351" s="9"/>
    </row>
    <row r="352" spans="14:14" x14ac:dyDescent="0.3">
      <c r="N352" s="9"/>
    </row>
    <row r="353" spans="14:14" x14ac:dyDescent="0.3">
      <c r="N353" s="9"/>
    </row>
    <row r="354" spans="14:14" x14ac:dyDescent="0.3">
      <c r="N354" s="9"/>
    </row>
    <row r="355" spans="14:14" x14ac:dyDescent="0.3">
      <c r="N355" s="9"/>
    </row>
    <row r="356" spans="14:14" x14ac:dyDescent="0.3">
      <c r="N356" s="9"/>
    </row>
    <row r="357" spans="14:14" x14ac:dyDescent="0.3">
      <c r="N357" s="9"/>
    </row>
    <row r="358" spans="14:14" x14ac:dyDescent="0.3">
      <c r="N358" s="9"/>
    </row>
    <row r="359" spans="14:14" x14ac:dyDescent="0.3">
      <c r="N359" s="9"/>
    </row>
    <row r="360" spans="14:14" x14ac:dyDescent="0.3">
      <c r="N360" s="9"/>
    </row>
    <row r="361" spans="14:14" x14ac:dyDescent="0.3">
      <c r="N361" s="9"/>
    </row>
    <row r="362" spans="14:14" x14ac:dyDescent="0.3">
      <c r="N362" s="9"/>
    </row>
    <row r="363" spans="14:14" x14ac:dyDescent="0.3">
      <c r="N363" s="9"/>
    </row>
    <row r="364" spans="14:14" x14ac:dyDescent="0.3">
      <c r="N364" s="9"/>
    </row>
    <row r="365" spans="14:14" x14ac:dyDescent="0.3">
      <c r="N365" s="9"/>
    </row>
    <row r="366" spans="14:14" x14ac:dyDescent="0.3">
      <c r="N366" s="9"/>
    </row>
    <row r="367" spans="14:14" x14ac:dyDescent="0.3">
      <c r="N367" s="9"/>
    </row>
    <row r="368" spans="14:14" x14ac:dyDescent="0.3">
      <c r="N368" s="9"/>
    </row>
    <row r="369" spans="14:14" x14ac:dyDescent="0.3">
      <c r="N369" s="9"/>
    </row>
    <row r="370" spans="14:14" x14ac:dyDescent="0.3">
      <c r="N370" s="9"/>
    </row>
    <row r="371" spans="14:14" x14ac:dyDescent="0.3">
      <c r="N371" s="9"/>
    </row>
    <row r="372" spans="14:14" x14ac:dyDescent="0.3">
      <c r="N372" s="9"/>
    </row>
    <row r="373" spans="14:14" x14ac:dyDescent="0.3">
      <c r="N373" s="9"/>
    </row>
    <row r="374" spans="14:14" x14ac:dyDescent="0.3">
      <c r="N374" s="9"/>
    </row>
    <row r="375" spans="14:14" x14ac:dyDescent="0.3">
      <c r="N375" s="9"/>
    </row>
    <row r="376" spans="14:14" x14ac:dyDescent="0.3">
      <c r="N376" s="9"/>
    </row>
    <row r="377" spans="14:14" x14ac:dyDescent="0.3">
      <c r="N377" s="9"/>
    </row>
    <row r="378" spans="14:14" x14ac:dyDescent="0.3">
      <c r="N378" s="9"/>
    </row>
    <row r="379" spans="14:14" x14ac:dyDescent="0.3">
      <c r="N379" s="9"/>
    </row>
    <row r="380" spans="14:14" x14ac:dyDescent="0.3">
      <c r="N380" s="9"/>
    </row>
    <row r="381" spans="14:14" x14ac:dyDescent="0.3">
      <c r="N381" s="9"/>
    </row>
    <row r="382" spans="14:14" x14ac:dyDescent="0.3">
      <c r="N382" s="9"/>
    </row>
    <row r="383" spans="14:14" x14ac:dyDescent="0.3">
      <c r="N383" s="9"/>
    </row>
    <row r="384" spans="14:14" x14ac:dyDescent="0.3">
      <c r="N384" s="9"/>
    </row>
    <row r="385" spans="14:14" x14ac:dyDescent="0.3">
      <c r="N385" s="9"/>
    </row>
    <row r="386" spans="14:14" x14ac:dyDescent="0.3">
      <c r="N386" s="9"/>
    </row>
    <row r="387" spans="14:14" x14ac:dyDescent="0.3">
      <c r="N387" s="9"/>
    </row>
    <row r="388" spans="14:14" x14ac:dyDescent="0.3">
      <c r="N388" s="9"/>
    </row>
    <row r="389" spans="14:14" x14ac:dyDescent="0.3">
      <c r="N389" s="9"/>
    </row>
    <row r="390" spans="14:14" x14ac:dyDescent="0.3">
      <c r="N390" s="9"/>
    </row>
    <row r="391" spans="14:14" x14ac:dyDescent="0.3">
      <c r="N391" s="9"/>
    </row>
    <row r="392" spans="14:14" x14ac:dyDescent="0.3">
      <c r="N392" s="9"/>
    </row>
    <row r="393" spans="14:14" x14ac:dyDescent="0.3">
      <c r="N393" s="9"/>
    </row>
    <row r="394" spans="14:14" x14ac:dyDescent="0.3">
      <c r="N394" s="9"/>
    </row>
    <row r="395" spans="14:14" x14ac:dyDescent="0.3">
      <c r="N395" s="9"/>
    </row>
    <row r="396" spans="14:14" x14ac:dyDescent="0.3">
      <c r="N396" s="9"/>
    </row>
    <row r="397" spans="14:14" x14ac:dyDescent="0.3">
      <c r="N397" s="9"/>
    </row>
    <row r="398" spans="14:14" x14ac:dyDescent="0.3">
      <c r="N398" s="9"/>
    </row>
    <row r="399" spans="14:14" x14ac:dyDescent="0.3">
      <c r="N399" s="9"/>
    </row>
    <row r="400" spans="14:14" x14ac:dyDescent="0.3">
      <c r="N400" s="9"/>
    </row>
    <row r="401" spans="14:14" x14ac:dyDescent="0.3">
      <c r="N401" s="9"/>
    </row>
    <row r="402" spans="14:14" x14ac:dyDescent="0.3">
      <c r="N402" s="9"/>
    </row>
    <row r="403" spans="14:14" x14ac:dyDescent="0.3">
      <c r="N403" s="9"/>
    </row>
    <row r="404" spans="14:14" x14ac:dyDescent="0.3">
      <c r="N404" s="9"/>
    </row>
    <row r="405" spans="14:14" x14ac:dyDescent="0.3">
      <c r="N405" s="9"/>
    </row>
    <row r="406" spans="14:14" x14ac:dyDescent="0.3">
      <c r="N406" s="9"/>
    </row>
    <row r="407" spans="14:14" x14ac:dyDescent="0.3">
      <c r="N407" s="9"/>
    </row>
    <row r="408" spans="14:14" x14ac:dyDescent="0.3">
      <c r="N408" s="9"/>
    </row>
    <row r="409" spans="14:14" x14ac:dyDescent="0.3">
      <c r="N409" s="9"/>
    </row>
    <row r="410" spans="14:14" x14ac:dyDescent="0.3">
      <c r="N410" s="9"/>
    </row>
    <row r="411" spans="14:14" x14ac:dyDescent="0.3">
      <c r="N411" s="9"/>
    </row>
    <row r="412" spans="14:14" x14ac:dyDescent="0.3">
      <c r="N412" s="9"/>
    </row>
    <row r="413" spans="14:14" x14ac:dyDescent="0.3">
      <c r="N413" s="9"/>
    </row>
    <row r="414" spans="14:14" x14ac:dyDescent="0.3">
      <c r="N414" s="9"/>
    </row>
    <row r="415" spans="14:14" x14ac:dyDescent="0.3">
      <c r="N415" s="9"/>
    </row>
    <row r="416" spans="14:14" x14ac:dyDescent="0.3">
      <c r="N416" s="9"/>
    </row>
    <row r="417" spans="14:14" x14ac:dyDescent="0.3">
      <c r="N417" s="9"/>
    </row>
    <row r="418" spans="14:14" x14ac:dyDescent="0.3">
      <c r="N418" s="9"/>
    </row>
    <row r="419" spans="14:14" x14ac:dyDescent="0.3">
      <c r="N419" s="9"/>
    </row>
    <row r="420" spans="14:14" x14ac:dyDescent="0.3">
      <c r="N420" s="9"/>
    </row>
    <row r="421" spans="14:14" x14ac:dyDescent="0.3">
      <c r="N421" s="9"/>
    </row>
    <row r="422" spans="14:14" x14ac:dyDescent="0.3">
      <c r="N422" s="9"/>
    </row>
    <row r="423" spans="14:14" x14ac:dyDescent="0.3">
      <c r="N423" s="9"/>
    </row>
    <row r="424" spans="14:14" x14ac:dyDescent="0.3">
      <c r="N424" s="9"/>
    </row>
    <row r="425" spans="14:14" x14ac:dyDescent="0.3">
      <c r="N425" s="9"/>
    </row>
    <row r="426" spans="14:14" x14ac:dyDescent="0.3">
      <c r="N426" s="9"/>
    </row>
    <row r="427" spans="14:14" x14ac:dyDescent="0.3">
      <c r="N427" s="9"/>
    </row>
    <row r="428" spans="14:14" x14ac:dyDescent="0.3">
      <c r="N428" s="9"/>
    </row>
    <row r="429" spans="14:14" x14ac:dyDescent="0.3">
      <c r="N429" s="9"/>
    </row>
    <row r="430" spans="14:14" x14ac:dyDescent="0.3">
      <c r="N430" s="9"/>
    </row>
    <row r="431" spans="14:14" x14ac:dyDescent="0.3">
      <c r="N431" s="9"/>
    </row>
    <row r="432" spans="14:14" x14ac:dyDescent="0.3">
      <c r="N432" s="9"/>
    </row>
    <row r="433" spans="14:14" x14ac:dyDescent="0.3">
      <c r="N433" s="9"/>
    </row>
    <row r="434" spans="14:14" x14ac:dyDescent="0.3">
      <c r="N434" s="9"/>
    </row>
    <row r="435" spans="14:14" x14ac:dyDescent="0.3">
      <c r="N435" s="9"/>
    </row>
    <row r="436" spans="14:14" x14ac:dyDescent="0.3">
      <c r="N436" s="9"/>
    </row>
    <row r="437" spans="14:14" x14ac:dyDescent="0.3">
      <c r="N437" s="9"/>
    </row>
    <row r="438" spans="14:14" x14ac:dyDescent="0.3">
      <c r="N438" s="9"/>
    </row>
    <row r="439" spans="14:14" x14ac:dyDescent="0.3">
      <c r="N439" s="9"/>
    </row>
    <row r="440" spans="14:14" x14ac:dyDescent="0.3">
      <c r="N440" s="9"/>
    </row>
    <row r="441" spans="14:14" x14ac:dyDescent="0.3">
      <c r="N441" s="9"/>
    </row>
    <row r="442" spans="14:14" x14ac:dyDescent="0.3">
      <c r="N442" s="9"/>
    </row>
    <row r="443" spans="14:14" x14ac:dyDescent="0.3">
      <c r="N443" s="9"/>
    </row>
    <row r="444" spans="14:14" x14ac:dyDescent="0.3">
      <c r="N444" s="9"/>
    </row>
    <row r="445" spans="14:14" x14ac:dyDescent="0.3">
      <c r="N445" s="9"/>
    </row>
    <row r="446" spans="14:14" x14ac:dyDescent="0.3">
      <c r="N446" s="9"/>
    </row>
    <row r="447" spans="14:14" x14ac:dyDescent="0.3">
      <c r="N447" s="9"/>
    </row>
    <row r="448" spans="14:14" x14ac:dyDescent="0.3">
      <c r="N448" s="9"/>
    </row>
    <row r="449" spans="14:14" x14ac:dyDescent="0.3">
      <c r="N449" s="9"/>
    </row>
    <row r="450" spans="14:14" x14ac:dyDescent="0.3">
      <c r="N450" s="9"/>
    </row>
    <row r="451" spans="14:14" x14ac:dyDescent="0.3">
      <c r="N451" s="9"/>
    </row>
    <row r="452" spans="14:14" x14ac:dyDescent="0.3">
      <c r="N452" s="9"/>
    </row>
    <row r="453" spans="14:14" x14ac:dyDescent="0.3">
      <c r="N453" s="9"/>
    </row>
    <row r="454" spans="14:14" x14ac:dyDescent="0.3">
      <c r="N454" s="9"/>
    </row>
    <row r="455" spans="14:14" x14ac:dyDescent="0.3">
      <c r="N455" s="9"/>
    </row>
    <row r="456" spans="14:14" x14ac:dyDescent="0.3">
      <c r="N456" s="9"/>
    </row>
    <row r="457" spans="14:14" x14ac:dyDescent="0.3">
      <c r="N457" s="9"/>
    </row>
    <row r="458" spans="14:14" x14ac:dyDescent="0.3">
      <c r="N458" s="9"/>
    </row>
    <row r="459" spans="14:14" x14ac:dyDescent="0.3">
      <c r="N459" s="9"/>
    </row>
    <row r="460" spans="14:14" x14ac:dyDescent="0.3">
      <c r="N460" s="9"/>
    </row>
    <row r="461" spans="14:14" x14ac:dyDescent="0.3">
      <c r="N461" s="9"/>
    </row>
    <row r="462" spans="14:14" x14ac:dyDescent="0.3">
      <c r="N462" s="9"/>
    </row>
    <row r="463" spans="14:14" x14ac:dyDescent="0.3">
      <c r="N463" s="9"/>
    </row>
    <row r="464" spans="14:14" x14ac:dyDescent="0.3">
      <c r="N464" s="9"/>
    </row>
    <row r="465" spans="14:14" x14ac:dyDescent="0.3">
      <c r="N465" s="9"/>
    </row>
    <row r="466" spans="14:14" x14ac:dyDescent="0.3">
      <c r="N466" s="9"/>
    </row>
    <row r="467" spans="14:14" x14ac:dyDescent="0.3">
      <c r="N467" s="9"/>
    </row>
    <row r="468" spans="14:14" x14ac:dyDescent="0.3">
      <c r="N468" s="9"/>
    </row>
    <row r="469" spans="14:14" x14ac:dyDescent="0.3">
      <c r="N469" s="9"/>
    </row>
    <row r="470" spans="14:14" x14ac:dyDescent="0.3">
      <c r="N470" s="9"/>
    </row>
    <row r="471" spans="14:14" x14ac:dyDescent="0.3">
      <c r="N471" s="9"/>
    </row>
    <row r="472" spans="14:14" x14ac:dyDescent="0.3">
      <c r="N472" s="9"/>
    </row>
    <row r="473" spans="14:14" x14ac:dyDescent="0.3">
      <c r="N473" s="9"/>
    </row>
    <row r="474" spans="14:14" x14ac:dyDescent="0.3">
      <c r="N474" s="9"/>
    </row>
    <row r="475" spans="14:14" x14ac:dyDescent="0.3">
      <c r="N475" s="9"/>
    </row>
    <row r="476" spans="14:14" x14ac:dyDescent="0.3">
      <c r="N476" s="9"/>
    </row>
    <row r="477" spans="14:14" x14ac:dyDescent="0.3">
      <c r="N477" s="9"/>
    </row>
    <row r="478" spans="14:14" x14ac:dyDescent="0.3">
      <c r="N478" s="9"/>
    </row>
    <row r="479" spans="14:14" x14ac:dyDescent="0.3">
      <c r="N479" s="9"/>
    </row>
    <row r="480" spans="14:14" x14ac:dyDescent="0.3">
      <c r="N480" s="9"/>
    </row>
    <row r="481" spans="14:14" x14ac:dyDescent="0.3">
      <c r="N481" s="9"/>
    </row>
    <row r="482" spans="14:14" x14ac:dyDescent="0.3">
      <c r="N482" s="9"/>
    </row>
    <row r="483" spans="14:14" x14ac:dyDescent="0.3">
      <c r="N483" s="9"/>
    </row>
    <row r="484" spans="14:14" x14ac:dyDescent="0.3">
      <c r="N484" s="9"/>
    </row>
    <row r="485" spans="14:14" x14ac:dyDescent="0.3">
      <c r="N485" s="9"/>
    </row>
    <row r="486" spans="14:14" x14ac:dyDescent="0.3">
      <c r="N486" s="9"/>
    </row>
    <row r="487" spans="14:14" x14ac:dyDescent="0.3">
      <c r="N487" s="9"/>
    </row>
    <row r="488" spans="14:14" x14ac:dyDescent="0.3">
      <c r="N488" s="9"/>
    </row>
    <row r="489" spans="14:14" x14ac:dyDescent="0.3">
      <c r="N489" s="9"/>
    </row>
    <row r="490" spans="14:14" x14ac:dyDescent="0.3">
      <c r="N490" s="9"/>
    </row>
    <row r="491" spans="14:14" x14ac:dyDescent="0.3">
      <c r="N491" s="9"/>
    </row>
    <row r="492" spans="14:14" x14ac:dyDescent="0.3">
      <c r="N492" s="9"/>
    </row>
    <row r="493" spans="14:14" x14ac:dyDescent="0.3">
      <c r="N493" s="9"/>
    </row>
    <row r="494" spans="14:14" x14ac:dyDescent="0.3">
      <c r="N494" s="9"/>
    </row>
    <row r="495" spans="14:14" x14ac:dyDescent="0.3">
      <c r="N495" s="9"/>
    </row>
    <row r="496" spans="14:14" x14ac:dyDescent="0.3">
      <c r="N496" s="9"/>
    </row>
    <row r="497" spans="14:14" x14ac:dyDescent="0.3">
      <c r="N497" s="9"/>
    </row>
    <row r="498" spans="14:14" x14ac:dyDescent="0.3">
      <c r="N498" s="9"/>
    </row>
    <row r="499" spans="14:14" x14ac:dyDescent="0.3">
      <c r="N499" s="9"/>
    </row>
    <row r="500" spans="14:14" x14ac:dyDescent="0.3">
      <c r="N500" s="9"/>
    </row>
    <row r="501" spans="14:14" x14ac:dyDescent="0.3">
      <c r="N501" s="9"/>
    </row>
    <row r="502" spans="14:14" x14ac:dyDescent="0.3">
      <c r="N502" s="9"/>
    </row>
    <row r="503" spans="14:14" x14ac:dyDescent="0.3">
      <c r="N503" s="9"/>
    </row>
    <row r="504" spans="14:14" x14ac:dyDescent="0.3">
      <c r="N504" s="9"/>
    </row>
    <row r="505" spans="14:14" x14ac:dyDescent="0.3">
      <c r="N505" s="9"/>
    </row>
    <row r="506" spans="14:14" x14ac:dyDescent="0.3">
      <c r="N506" s="9"/>
    </row>
    <row r="507" spans="14:14" x14ac:dyDescent="0.3">
      <c r="N507" s="9"/>
    </row>
    <row r="508" spans="14:14" x14ac:dyDescent="0.3">
      <c r="N508" s="9"/>
    </row>
    <row r="509" spans="14:14" x14ac:dyDescent="0.3">
      <c r="N509" s="9"/>
    </row>
    <row r="510" spans="14:14" x14ac:dyDescent="0.3">
      <c r="N510" s="9"/>
    </row>
    <row r="511" spans="14:14" x14ac:dyDescent="0.3">
      <c r="N511" s="9"/>
    </row>
    <row r="512" spans="14:14" x14ac:dyDescent="0.3">
      <c r="N512" s="9"/>
    </row>
    <row r="513" spans="14:14" x14ac:dyDescent="0.3">
      <c r="N513" s="9"/>
    </row>
    <row r="514" spans="14:14" x14ac:dyDescent="0.3">
      <c r="N514" s="9"/>
    </row>
    <row r="515" spans="14:14" x14ac:dyDescent="0.3">
      <c r="N515" s="9"/>
    </row>
    <row r="516" spans="14:14" x14ac:dyDescent="0.3">
      <c r="N516" s="9"/>
    </row>
    <row r="517" spans="14:14" x14ac:dyDescent="0.3">
      <c r="N517" s="9"/>
    </row>
    <row r="518" spans="14:14" x14ac:dyDescent="0.3">
      <c r="N518" s="9"/>
    </row>
    <row r="519" spans="14:14" x14ac:dyDescent="0.3">
      <c r="N519" s="9"/>
    </row>
    <row r="520" spans="14:14" x14ac:dyDescent="0.3">
      <c r="N520" s="9"/>
    </row>
    <row r="521" spans="14:14" x14ac:dyDescent="0.3">
      <c r="N521" s="9"/>
    </row>
    <row r="522" spans="14:14" x14ac:dyDescent="0.3">
      <c r="N522" s="9"/>
    </row>
    <row r="523" spans="14:14" x14ac:dyDescent="0.3">
      <c r="N523" s="9"/>
    </row>
    <row r="524" spans="14:14" x14ac:dyDescent="0.3">
      <c r="N524" s="9"/>
    </row>
    <row r="525" spans="14:14" x14ac:dyDescent="0.3">
      <c r="N525" s="9"/>
    </row>
    <row r="526" spans="14:14" x14ac:dyDescent="0.3">
      <c r="N526" s="9"/>
    </row>
    <row r="527" spans="14:14" x14ac:dyDescent="0.3">
      <c r="N527" s="9"/>
    </row>
    <row r="528" spans="14:14" x14ac:dyDescent="0.3">
      <c r="N528" s="9"/>
    </row>
    <row r="529" spans="14:14" x14ac:dyDescent="0.3">
      <c r="N529" s="9"/>
    </row>
    <row r="530" spans="14:14" x14ac:dyDescent="0.3">
      <c r="N530" s="9"/>
    </row>
    <row r="531" spans="14:14" x14ac:dyDescent="0.3">
      <c r="N531" s="9"/>
    </row>
    <row r="532" spans="14:14" x14ac:dyDescent="0.3">
      <c r="N532" s="9"/>
    </row>
    <row r="533" spans="14:14" x14ac:dyDescent="0.3">
      <c r="N533" s="9"/>
    </row>
    <row r="534" spans="14:14" x14ac:dyDescent="0.3">
      <c r="N534" s="9"/>
    </row>
    <row r="535" spans="14:14" x14ac:dyDescent="0.3">
      <c r="N535" s="9"/>
    </row>
    <row r="536" spans="14:14" x14ac:dyDescent="0.3">
      <c r="N536" s="9"/>
    </row>
    <row r="537" spans="14:14" x14ac:dyDescent="0.3">
      <c r="N537" s="9"/>
    </row>
    <row r="538" spans="14:14" x14ac:dyDescent="0.3">
      <c r="N538" s="9"/>
    </row>
    <row r="539" spans="14:14" x14ac:dyDescent="0.3">
      <c r="N539" s="9"/>
    </row>
    <row r="540" spans="14:14" x14ac:dyDescent="0.3">
      <c r="N540" s="9"/>
    </row>
    <row r="541" spans="14:14" x14ac:dyDescent="0.3">
      <c r="N541" s="9"/>
    </row>
    <row r="542" spans="14:14" x14ac:dyDescent="0.3">
      <c r="N542" s="9"/>
    </row>
    <row r="543" spans="14:14" x14ac:dyDescent="0.3">
      <c r="N543" s="9"/>
    </row>
    <row r="544" spans="14:14" x14ac:dyDescent="0.3">
      <c r="N544" s="9"/>
    </row>
    <row r="545" spans="14:14" x14ac:dyDescent="0.3">
      <c r="N545" s="9"/>
    </row>
    <row r="546" spans="14:14" x14ac:dyDescent="0.3">
      <c r="N546" s="9"/>
    </row>
    <row r="547" spans="14:14" x14ac:dyDescent="0.3">
      <c r="N547" s="9"/>
    </row>
    <row r="548" spans="14:14" x14ac:dyDescent="0.3">
      <c r="N548" s="9"/>
    </row>
    <row r="549" spans="14:14" x14ac:dyDescent="0.3">
      <c r="N549" s="9"/>
    </row>
    <row r="550" spans="14:14" x14ac:dyDescent="0.3">
      <c r="N550" s="9"/>
    </row>
    <row r="551" spans="14:14" x14ac:dyDescent="0.3">
      <c r="N551" s="9"/>
    </row>
    <row r="552" spans="14:14" x14ac:dyDescent="0.3">
      <c r="N552" s="9"/>
    </row>
    <row r="553" spans="14:14" x14ac:dyDescent="0.3">
      <c r="N553" s="9"/>
    </row>
    <row r="554" spans="14:14" x14ac:dyDescent="0.3">
      <c r="N554" s="9"/>
    </row>
    <row r="555" spans="14:14" x14ac:dyDescent="0.3">
      <c r="N555" s="9"/>
    </row>
    <row r="556" spans="14:14" x14ac:dyDescent="0.3">
      <c r="N556" s="9"/>
    </row>
    <row r="557" spans="14:14" x14ac:dyDescent="0.3">
      <c r="N557" s="9"/>
    </row>
    <row r="558" spans="14:14" x14ac:dyDescent="0.3">
      <c r="N558" s="9"/>
    </row>
    <row r="559" spans="14:14" x14ac:dyDescent="0.3">
      <c r="N559" s="9"/>
    </row>
    <row r="560" spans="14:14" x14ac:dyDescent="0.3">
      <c r="N560" s="9"/>
    </row>
    <row r="561" spans="14:14" x14ac:dyDescent="0.3">
      <c r="N561" s="9"/>
    </row>
    <row r="562" spans="14:14" x14ac:dyDescent="0.3">
      <c r="N562" s="9"/>
    </row>
    <row r="563" spans="14:14" x14ac:dyDescent="0.3">
      <c r="N563" s="9"/>
    </row>
    <row r="564" spans="14:14" x14ac:dyDescent="0.3">
      <c r="N564" s="9"/>
    </row>
    <row r="565" spans="14:14" x14ac:dyDescent="0.3">
      <c r="N565" s="9"/>
    </row>
    <row r="566" spans="14:14" x14ac:dyDescent="0.3">
      <c r="N566" s="9"/>
    </row>
    <row r="567" spans="14:14" x14ac:dyDescent="0.3">
      <c r="N567" s="9"/>
    </row>
    <row r="568" spans="14:14" x14ac:dyDescent="0.3">
      <c r="N568" s="9"/>
    </row>
    <row r="569" spans="14:14" x14ac:dyDescent="0.3">
      <c r="N569" s="9"/>
    </row>
    <row r="570" spans="14:14" x14ac:dyDescent="0.3">
      <c r="N570" s="9"/>
    </row>
    <row r="571" spans="14:14" x14ac:dyDescent="0.3">
      <c r="N571" s="9"/>
    </row>
    <row r="572" spans="14:14" x14ac:dyDescent="0.3">
      <c r="N572" s="9"/>
    </row>
    <row r="573" spans="14:14" x14ac:dyDescent="0.3">
      <c r="N573" s="9"/>
    </row>
    <row r="574" spans="14:14" x14ac:dyDescent="0.3">
      <c r="N574" s="9"/>
    </row>
    <row r="575" spans="14:14" x14ac:dyDescent="0.3">
      <c r="N575" s="9"/>
    </row>
    <row r="576" spans="14:14" x14ac:dyDescent="0.3">
      <c r="N576" s="9"/>
    </row>
    <row r="577" spans="14:14" x14ac:dyDescent="0.3">
      <c r="N577" s="9"/>
    </row>
    <row r="578" spans="14:14" x14ac:dyDescent="0.3">
      <c r="N578" s="9"/>
    </row>
    <row r="579" spans="14:14" x14ac:dyDescent="0.3">
      <c r="N579" s="9"/>
    </row>
    <row r="580" spans="14:14" x14ac:dyDescent="0.3">
      <c r="N580" s="9"/>
    </row>
    <row r="581" spans="14:14" x14ac:dyDescent="0.3">
      <c r="N581" s="9"/>
    </row>
    <row r="582" spans="14:14" x14ac:dyDescent="0.3">
      <c r="N582" s="9"/>
    </row>
    <row r="583" spans="14:14" x14ac:dyDescent="0.3">
      <c r="N583" s="9"/>
    </row>
    <row r="584" spans="14:14" x14ac:dyDescent="0.3">
      <c r="N584" s="9"/>
    </row>
    <row r="585" spans="14:14" x14ac:dyDescent="0.3">
      <c r="N585" s="9"/>
    </row>
    <row r="586" spans="14:14" x14ac:dyDescent="0.3">
      <c r="N586" s="9"/>
    </row>
    <row r="587" spans="14:14" x14ac:dyDescent="0.3">
      <c r="N587" s="9"/>
    </row>
    <row r="588" spans="14:14" x14ac:dyDescent="0.3">
      <c r="N588" s="9"/>
    </row>
    <row r="589" spans="14:14" x14ac:dyDescent="0.3">
      <c r="N589" s="9"/>
    </row>
    <row r="590" spans="14:14" x14ac:dyDescent="0.3">
      <c r="N590" s="9"/>
    </row>
    <row r="591" spans="14:14" x14ac:dyDescent="0.3">
      <c r="N591" s="9"/>
    </row>
    <row r="592" spans="14:14" x14ac:dyDescent="0.3">
      <c r="N592" s="9"/>
    </row>
    <row r="593" spans="14:14" x14ac:dyDescent="0.3">
      <c r="N593" s="9"/>
    </row>
    <row r="594" spans="14:14" x14ac:dyDescent="0.3">
      <c r="N594" s="9"/>
    </row>
    <row r="595" spans="14:14" x14ac:dyDescent="0.3">
      <c r="N595" s="9"/>
    </row>
    <row r="596" spans="14:14" x14ac:dyDescent="0.3">
      <c r="N596" s="9"/>
    </row>
    <row r="597" spans="14:14" x14ac:dyDescent="0.3">
      <c r="N597" s="9"/>
    </row>
    <row r="598" spans="14:14" x14ac:dyDescent="0.3">
      <c r="N598" s="9"/>
    </row>
    <row r="599" spans="14:14" x14ac:dyDescent="0.3">
      <c r="N599" s="9"/>
    </row>
    <row r="600" spans="14:14" x14ac:dyDescent="0.3">
      <c r="N600" s="9"/>
    </row>
    <row r="601" spans="14:14" x14ac:dyDescent="0.3">
      <c r="N601" s="9"/>
    </row>
    <row r="602" spans="14:14" x14ac:dyDescent="0.3">
      <c r="N602" s="9"/>
    </row>
    <row r="603" spans="14:14" x14ac:dyDescent="0.3">
      <c r="N603" s="9"/>
    </row>
    <row r="604" spans="14:14" x14ac:dyDescent="0.3">
      <c r="N604" s="9"/>
    </row>
    <row r="605" spans="14:14" x14ac:dyDescent="0.3">
      <c r="N605" s="9"/>
    </row>
    <row r="606" spans="14:14" x14ac:dyDescent="0.3">
      <c r="N606" s="9"/>
    </row>
    <row r="607" spans="14:14" x14ac:dyDescent="0.3">
      <c r="N607" s="9"/>
    </row>
    <row r="608" spans="14:14" x14ac:dyDescent="0.3">
      <c r="N608" s="9"/>
    </row>
    <row r="609" spans="14:14" x14ac:dyDescent="0.3">
      <c r="N609" s="9"/>
    </row>
    <row r="610" spans="14:14" x14ac:dyDescent="0.3">
      <c r="N610" s="9"/>
    </row>
    <row r="611" spans="14:14" x14ac:dyDescent="0.3">
      <c r="N611" s="9"/>
    </row>
    <row r="612" spans="14:14" x14ac:dyDescent="0.3">
      <c r="N612" s="9"/>
    </row>
    <row r="613" spans="14:14" x14ac:dyDescent="0.3">
      <c r="N613" s="9"/>
    </row>
    <row r="614" spans="14:14" x14ac:dyDescent="0.3">
      <c r="N614" s="9"/>
    </row>
    <row r="615" spans="14:14" x14ac:dyDescent="0.3">
      <c r="N615" s="9"/>
    </row>
    <row r="616" spans="14:14" x14ac:dyDescent="0.3">
      <c r="N616" s="9"/>
    </row>
    <row r="617" spans="14:14" x14ac:dyDescent="0.3">
      <c r="N617" s="9"/>
    </row>
    <row r="618" spans="14:14" x14ac:dyDescent="0.3">
      <c r="N618" s="9"/>
    </row>
    <row r="619" spans="14:14" x14ac:dyDescent="0.3">
      <c r="N619" s="9"/>
    </row>
    <row r="620" spans="14:14" x14ac:dyDescent="0.3">
      <c r="N620" s="9"/>
    </row>
    <row r="621" spans="14:14" x14ac:dyDescent="0.3">
      <c r="N621" s="9"/>
    </row>
    <row r="622" spans="14:14" x14ac:dyDescent="0.3">
      <c r="N622" s="9"/>
    </row>
    <row r="623" spans="14:14" x14ac:dyDescent="0.3">
      <c r="N623" s="9"/>
    </row>
    <row r="624" spans="14:14" x14ac:dyDescent="0.3">
      <c r="N624" s="9"/>
    </row>
    <row r="625" spans="14:14" x14ac:dyDescent="0.3">
      <c r="N625" s="9"/>
    </row>
    <row r="626" spans="14:14" x14ac:dyDescent="0.3">
      <c r="N626" s="9"/>
    </row>
    <row r="627" spans="14:14" x14ac:dyDescent="0.3">
      <c r="N627" s="9"/>
    </row>
    <row r="628" spans="14:14" x14ac:dyDescent="0.3">
      <c r="N628" s="9"/>
    </row>
    <row r="629" spans="14:14" x14ac:dyDescent="0.3">
      <c r="N629" s="9"/>
    </row>
    <row r="630" spans="14:14" x14ac:dyDescent="0.3">
      <c r="N630" s="9"/>
    </row>
    <row r="631" spans="14:14" x14ac:dyDescent="0.3">
      <c r="N631" s="9"/>
    </row>
    <row r="632" spans="14:14" x14ac:dyDescent="0.3">
      <c r="N632" s="9"/>
    </row>
    <row r="633" spans="14:14" x14ac:dyDescent="0.3">
      <c r="N633" s="9"/>
    </row>
    <row r="634" spans="14:14" x14ac:dyDescent="0.3">
      <c r="N634" s="9"/>
    </row>
    <row r="635" spans="14:14" x14ac:dyDescent="0.3">
      <c r="N635" s="9"/>
    </row>
    <row r="636" spans="14:14" x14ac:dyDescent="0.3">
      <c r="N636" s="9"/>
    </row>
    <row r="637" spans="14:14" x14ac:dyDescent="0.3">
      <c r="N637" s="9"/>
    </row>
    <row r="638" spans="14:14" x14ac:dyDescent="0.3">
      <c r="N638" s="9"/>
    </row>
    <row r="639" spans="14:14" x14ac:dyDescent="0.3">
      <c r="N639" s="9"/>
    </row>
    <row r="640" spans="14:14" x14ac:dyDescent="0.3">
      <c r="N640" s="9"/>
    </row>
    <row r="641" spans="14:14" x14ac:dyDescent="0.3">
      <c r="N641" s="9"/>
    </row>
    <row r="642" spans="14:14" x14ac:dyDescent="0.3">
      <c r="N642" s="9"/>
    </row>
    <row r="643" spans="14:14" x14ac:dyDescent="0.3">
      <c r="N643" s="9"/>
    </row>
    <row r="644" spans="14:14" x14ac:dyDescent="0.3">
      <c r="N644" s="9"/>
    </row>
    <row r="645" spans="14:14" x14ac:dyDescent="0.3">
      <c r="N645" s="9"/>
    </row>
    <row r="646" spans="14:14" x14ac:dyDescent="0.3">
      <c r="N646" s="9"/>
    </row>
    <row r="647" spans="14:14" x14ac:dyDescent="0.3">
      <c r="N647" s="9"/>
    </row>
    <row r="648" spans="14:14" x14ac:dyDescent="0.3">
      <c r="N648" s="9"/>
    </row>
    <row r="649" spans="14:14" x14ac:dyDescent="0.3">
      <c r="N649" s="9"/>
    </row>
    <row r="650" spans="14:14" x14ac:dyDescent="0.3">
      <c r="N650" s="9"/>
    </row>
    <row r="651" spans="14:14" x14ac:dyDescent="0.3">
      <c r="N651" s="9"/>
    </row>
    <row r="652" spans="14:14" x14ac:dyDescent="0.3">
      <c r="N652" s="9"/>
    </row>
    <row r="653" spans="14:14" x14ac:dyDescent="0.3">
      <c r="N653" s="9"/>
    </row>
    <row r="654" spans="14:14" x14ac:dyDescent="0.3">
      <c r="N654" s="9"/>
    </row>
    <row r="655" spans="14:14" x14ac:dyDescent="0.3">
      <c r="N655" s="9"/>
    </row>
    <row r="656" spans="14:14" x14ac:dyDescent="0.3">
      <c r="N656" s="9"/>
    </row>
    <row r="657" spans="14:14" x14ac:dyDescent="0.3">
      <c r="N657" s="9"/>
    </row>
    <row r="658" spans="14:14" x14ac:dyDescent="0.3">
      <c r="N658" s="9"/>
    </row>
    <row r="659" spans="14:14" x14ac:dyDescent="0.3">
      <c r="N659" s="9"/>
    </row>
    <row r="660" spans="14:14" x14ac:dyDescent="0.3">
      <c r="N660" s="9"/>
    </row>
    <row r="661" spans="14:14" x14ac:dyDescent="0.3">
      <c r="N661" s="9"/>
    </row>
    <row r="662" spans="14:14" x14ac:dyDescent="0.3">
      <c r="N662" s="9"/>
    </row>
    <row r="663" spans="14:14" x14ac:dyDescent="0.3">
      <c r="N663" s="9"/>
    </row>
    <row r="664" spans="14:14" x14ac:dyDescent="0.3">
      <c r="N664" s="9"/>
    </row>
    <row r="665" spans="14:14" x14ac:dyDescent="0.3">
      <c r="N665" s="9"/>
    </row>
    <row r="666" spans="14:14" x14ac:dyDescent="0.3">
      <c r="N666" s="9"/>
    </row>
    <row r="667" spans="14:14" x14ac:dyDescent="0.3">
      <c r="N667" s="9"/>
    </row>
    <row r="668" spans="14:14" x14ac:dyDescent="0.3">
      <c r="N668" s="9"/>
    </row>
    <row r="669" spans="14:14" x14ac:dyDescent="0.3">
      <c r="N669" s="9"/>
    </row>
    <row r="670" spans="14:14" x14ac:dyDescent="0.3">
      <c r="N670" s="9"/>
    </row>
    <row r="671" spans="14:14" x14ac:dyDescent="0.3">
      <c r="N671" s="9"/>
    </row>
    <row r="672" spans="14:14" x14ac:dyDescent="0.3">
      <c r="N672" s="9"/>
    </row>
    <row r="673" spans="14:14" x14ac:dyDescent="0.3">
      <c r="N673" s="9"/>
    </row>
    <row r="674" spans="14:14" x14ac:dyDescent="0.3">
      <c r="N674" s="9"/>
    </row>
    <row r="675" spans="14:14" x14ac:dyDescent="0.3">
      <c r="N675" s="9"/>
    </row>
    <row r="676" spans="14:14" x14ac:dyDescent="0.3">
      <c r="N676" s="9"/>
    </row>
    <row r="677" spans="14:14" x14ac:dyDescent="0.3">
      <c r="N677" s="9"/>
    </row>
    <row r="678" spans="14:14" x14ac:dyDescent="0.3">
      <c r="N678" s="9"/>
    </row>
    <row r="679" spans="14:14" x14ac:dyDescent="0.3">
      <c r="N679" s="9"/>
    </row>
    <row r="680" spans="14:14" x14ac:dyDescent="0.3">
      <c r="N680" s="9"/>
    </row>
    <row r="681" spans="14:14" x14ac:dyDescent="0.3">
      <c r="N681" s="9"/>
    </row>
    <row r="682" spans="14:14" x14ac:dyDescent="0.3">
      <c r="N682" s="9"/>
    </row>
    <row r="683" spans="14:14" x14ac:dyDescent="0.3">
      <c r="N683" s="9"/>
    </row>
    <row r="684" spans="14:14" x14ac:dyDescent="0.3">
      <c r="N684" s="9"/>
    </row>
    <row r="685" spans="14:14" x14ac:dyDescent="0.3">
      <c r="N685" s="9"/>
    </row>
    <row r="686" spans="14:14" x14ac:dyDescent="0.3">
      <c r="N686" s="9"/>
    </row>
    <row r="687" spans="14:14" x14ac:dyDescent="0.3">
      <c r="N687" s="9"/>
    </row>
    <row r="688" spans="14:14" x14ac:dyDescent="0.3">
      <c r="N688" s="9"/>
    </row>
    <row r="689" spans="14:14" x14ac:dyDescent="0.3">
      <c r="N689" s="9"/>
    </row>
    <row r="690" spans="14:14" x14ac:dyDescent="0.3">
      <c r="N690" s="9"/>
    </row>
    <row r="691" spans="14:14" x14ac:dyDescent="0.3">
      <c r="N691" s="9"/>
    </row>
    <row r="692" spans="14:14" x14ac:dyDescent="0.3">
      <c r="N692" s="9"/>
    </row>
    <row r="693" spans="14:14" x14ac:dyDescent="0.3">
      <c r="N693" s="9"/>
    </row>
    <row r="694" spans="14:14" x14ac:dyDescent="0.3">
      <c r="N694" s="9"/>
    </row>
    <row r="695" spans="14:14" x14ac:dyDescent="0.3">
      <c r="N695" s="9"/>
    </row>
    <row r="696" spans="14:14" x14ac:dyDescent="0.3">
      <c r="N696" s="9"/>
    </row>
    <row r="697" spans="14:14" x14ac:dyDescent="0.3">
      <c r="N697" s="9"/>
    </row>
    <row r="698" spans="14:14" x14ac:dyDescent="0.3">
      <c r="N698" s="9"/>
    </row>
    <row r="699" spans="14:14" x14ac:dyDescent="0.3">
      <c r="N699" s="9"/>
    </row>
    <row r="700" spans="14:14" x14ac:dyDescent="0.3">
      <c r="N700" s="9"/>
    </row>
    <row r="701" spans="14:14" x14ac:dyDescent="0.3">
      <c r="N701" s="9"/>
    </row>
    <row r="702" spans="14:14" x14ac:dyDescent="0.3">
      <c r="N702" s="9"/>
    </row>
    <row r="703" spans="14:14" x14ac:dyDescent="0.3">
      <c r="N703" s="9"/>
    </row>
    <row r="704" spans="14:14" x14ac:dyDescent="0.3">
      <c r="N704" s="9"/>
    </row>
    <row r="705" spans="14:14" x14ac:dyDescent="0.3">
      <c r="N705" s="9"/>
    </row>
    <row r="706" spans="14:14" x14ac:dyDescent="0.3">
      <c r="N706" s="9"/>
    </row>
    <row r="707" spans="14:14" x14ac:dyDescent="0.3">
      <c r="N707" s="9"/>
    </row>
    <row r="708" spans="14:14" x14ac:dyDescent="0.3">
      <c r="N708" s="9"/>
    </row>
    <row r="709" spans="14:14" x14ac:dyDescent="0.3">
      <c r="N709" s="9"/>
    </row>
    <row r="710" spans="14:14" x14ac:dyDescent="0.3">
      <c r="N710" s="9"/>
    </row>
    <row r="711" spans="14:14" x14ac:dyDescent="0.3">
      <c r="N711" s="9"/>
    </row>
    <row r="712" spans="14:14" x14ac:dyDescent="0.3">
      <c r="N712" s="9"/>
    </row>
    <row r="713" spans="14:14" x14ac:dyDescent="0.3">
      <c r="N713" s="9"/>
    </row>
    <row r="714" spans="14:14" x14ac:dyDescent="0.3">
      <c r="N714" s="9"/>
    </row>
    <row r="715" spans="14:14" x14ac:dyDescent="0.3">
      <c r="N715" s="9"/>
    </row>
    <row r="716" spans="14:14" x14ac:dyDescent="0.3">
      <c r="N716" s="9"/>
    </row>
    <row r="717" spans="14:14" x14ac:dyDescent="0.3">
      <c r="N717" s="9"/>
    </row>
    <row r="718" spans="14:14" x14ac:dyDescent="0.3">
      <c r="N718" s="9"/>
    </row>
    <row r="719" spans="14:14" x14ac:dyDescent="0.3">
      <c r="N719" s="9"/>
    </row>
    <row r="720" spans="14:14" x14ac:dyDescent="0.3">
      <c r="N720" s="9"/>
    </row>
    <row r="721" spans="14:14" x14ac:dyDescent="0.3">
      <c r="N721" s="9"/>
    </row>
    <row r="722" spans="14:14" x14ac:dyDescent="0.3">
      <c r="N722" s="9"/>
    </row>
    <row r="723" spans="14:14" x14ac:dyDescent="0.3">
      <c r="N723" s="9"/>
    </row>
    <row r="724" spans="14:14" x14ac:dyDescent="0.3">
      <c r="N724" s="9"/>
    </row>
    <row r="725" spans="14:14" x14ac:dyDescent="0.3">
      <c r="N725" s="9"/>
    </row>
    <row r="726" spans="14:14" x14ac:dyDescent="0.3">
      <c r="N726" s="9"/>
    </row>
    <row r="727" spans="14:14" x14ac:dyDescent="0.3">
      <c r="N727" s="9"/>
    </row>
    <row r="728" spans="14:14" x14ac:dyDescent="0.3">
      <c r="N728" s="9"/>
    </row>
    <row r="729" spans="14:14" x14ac:dyDescent="0.3">
      <c r="N729" s="9"/>
    </row>
    <row r="730" spans="14:14" x14ac:dyDescent="0.3">
      <c r="N730" s="9"/>
    </row>
    <row r="731" spans="14:14" x14ac:dyDescent="0.3">
      <c r="N731" s="9"/>
    </row>
    <row r="732" spans="14:14" x14ac:dyDescent="0.3">
      <c r="N732" s="9"/>
    </row>
    <row r="733" spans="14:14" x14ac:dyDescent="0.3">
      <c r="N733" s="9"/>
    </row>
    <row r="734" spans="14:14" x14ac:dyDescent="0.3">
      <c r="N734" s="9"/>
    </row>
    <row r="735" spans="14:14" x14ac:dyDescent="0.3">
      <c r="N735" s="9"/>
    </row>
    <row r="736" spans="14:14" x14ac:dyDescent="0.3">
      <c r="N736" s="9"/>
    </row>
    <row r="737" spans="14:14" x14ac:dyDescent="0.3">
      <c r="N737" s="9"/>
    </row>
    <row r="738" spans="14:14" x14ac:dyDescent="0.3">
      <c r="N738" s="9"/>
    </row>
    <row r="739" spans="14:14" x14ac:dyDescent="0.3">
      <c r="N739" s="9"/>
    </row>
    <row r="740" spans="14:14" x14ac:dyDescent="0.3">
      <c r="N740" s="9"/>
    </row>
    <row r="741" spans="14:14" x14ac:dyDescent="0.3">
      <c r="N741" s="9"/>
    </row>
    <row r="742" spans="14:14" x14ac:dyDescent="0.3">
      <c r="N742" s="9"/>
    </row>
    <row r="743" spans="14:14" x14ac:dyDescent="0.3">
      <c r="N743" s="9"/>
    </row>
    <row r="744" spans="14:14" x14ac:dyDescent="0.3">
      <c r="N744" s="9"/>
    </row>
    <row r="745" spans="14:14" x14ac:dyDescent="0.3">
      <c r="N745" s="9"/>
    </row>
    <row r="746" spans="14:14" x14ac:dyDescent="0.3">
      <c r="N746" s="9"/>
    </row>
    <row r="747" spans="14:14" x14ac:dyDescent="0.3">
      <c r="N747" s="9"/>
    </row>
    <row r="748" spans="14:14" x14ac:dyDescent="0.3">
      <c r="N748" s="9"/>
    </row>
    <row r="749" spans="14:14" x14ac:dyDescent="0.3">
      <c r="N749" s="9"/>
    </row>
    <row r="750" spans="14:14" x14ac:dyDescent="0.3">
      <c r="N750" s="9"/>
    </row>
    <row r="751" spans="14:14" x14ac:dyDescent="0.3">
      <c r="N751" s="9"/>
    </row>
    <row r="752" spans="14:14" x14ac:dyDescent="0.3">
      <c r="N752" s="9"/>
    </row>
    <row r="753" spans="14:14" x14ac:dyDescent="0.3">
      <c r="N753" s="9"/>
    </row>
    <row r="754" spans="14:14" x14ac:dyDescent="0.3">
      <c r="N754" s="9"/>
    </row>
    <row r="755" spans="14:14" x14ac:dyDescent="0.3">
      <c r="N755" s="9"/>
    </row>
    <row r="756" spans="14:14" x14ac:dyDescent="0.3">
      <c r="N756" s="9"/>
    </row>
    <row r="757" spans="14:14" x14ac:dyDescent="0.3">
      <c r="N757" s="9"/>
    </row>
    <row r="758" spans="14:14" x14ac:dyDescent="0.3">
      <c r="N758" s="9"/>
    </row>
    <row r="759" spans="14:14" x14ac:dyDescent="0.3">
      <c r="N759" s="9"/>
    </row>
    <row r="760" spans="14:14" x14ac:dyDescent="0.3">
      <c r="N760" s="9"/>
    </row>
    <row r="761" spans="14:14" x14ac:dyDescent="0.3">
      <c r="N761" s="9"/>
    </row>
    <row r="762" spans="14:14" x14ac:dyDescent="0.3">
      <c r="N762" s="9"/>
    </row>
    <row r="763" spans="14:14" x14ac:dyDescent="0.3">
      <c r="N763" s="9"/>
    </row>
    <row r="764" spans="14:14" x14ac:dyDescent="0.3">
      <c r="N764" s="9"/>
    </row>
    <row r="765" spans="14:14" x14ac:dyDescent="0.3">
      <c r="N765" s="9"/>
    </row>
    <row r="766" spans="14:14" x14ac:dyDescent="0.3">
      <c r="N766" s="9"/>
    </row>
    <row r="767" spans="14:14" x14ac:dyDescent="0.3">
      <c r="N767" s="9"/>
    </row>
    <row r="768" spans="14:14" x14ac:dyDescent="0.3">
      <c r="N768" s="9"/>
    </row>
    <row r="769" spans="14:14" x14ac:dyDescent="0.3">
      <c r="N769" s="9"/>
    </row>
    <row r="770" spans="14:14" x14ac:dyDescent="0.3">
      <c r="N770" s="9"/>
    </row>
    <row r="771" spans="14:14" x14ac:dyDescent="0.3">
      <c r="N771" s="9"/>
    </row>
    <row r="772" spans="14:14" x14ac:dyDescent="0.3">
      <c r="N772" s="9"/>
    </row>
    <row r="773" spans="14:14" x14ac:dyDescent="0.3">
      <c r="N773" s="9"/>
    </row>
    <row r="774" spans="14:14" x14ac:dyDescent="0.3">
      <c r="N774" s="9"/>
    </row>
    <row r="775" spans="14:14" x14ac:dyDescent="0.3">
      <c r="N775" s="9"/>
    </row>
    <row r="776" spans="14:14" x14ac:dyDescent="0.3">
      <c r="N776" s="9"/>
    </row>
    <row r="777" spans="14:14" x14ac:dyDescent="0.3">
      <c r="N777" s="9"/>
    </row>
    <row r="778" spans="14:14" x14ac:dyDescent="0.3">
      <c r="N778" s="9"/>
    </row>
    <row r="779" spans="14:14" x14ac:dyDescent="0.3">
      <c r="N779" s="9"/>
    </row>
    <row r="780" spans="14:14" x14ac:dyDescent="0.3">
      <c r="N780" s="9"/>
    </row>
    <row r="781" spans="14:14" x14ac:dyDescent="0.3">
      <c r="N781" s="9"/>
    </row>
    <row r="782" spans="14:14" x14ac:dyDescent="0.3">
      <c r="N782" s="9"/>
    </row>
    <row r="783" spans="14:14" x14ac:dyDescent="0.3">
      <c r="N783" s="9"/>
    </row>
    <row r="784" spans="14:14" x14ac:dyDescent="0.3">
      <c r="N784" s="9"/>
    </row>
    <row r="785" spans="14:14" x14ac:dyDescent="0.3">
      <c r="N785" s="9"/>
    </row>
    <row r="786" spans="14:14" x14ac:dyDescent="0.3">
      <c r="N786" s="9"/>
    </row>
    <row r="787" spans="14:14" x14ac:dyDescent="0.3">
      <c r="N787" s="9"/>
    </row>
    <row r="788" spans="14:14" x14ac:dyDescent="0.3">
      <c r="N788" s="9"/>
    </row>
    <row r="789" spans="14:14" x14ac:dyDescent="0.3">
      <c r="N789" s="9"/>
    </row>
    <row r="790" spans="14:14" x14ac:dyDescent="0.3">
      <c r="N790" s="9"/>
    </row>
    <row r="791" spans="14:14" x14ac:dyDescent="0.3">
      <c r="N791" s="9"/>
    </row>
    <row r="792" spans="14:14" x14ac:dyDescent="0.3">
      <c r="N792" s="9"/>
    </row>
    <row r="793" spans="14:14" x14ac:dyDescent="0.3">
      <c r="N793" s="9"/>
    </row>
    <row r="794" spans="14:14" x14ac:dyDescent="0.3">
      <c r="N794" s="9"/>
    </row>
    <row r="795" spans="14:14" x14ac:dyDescent="0.3">
      <c r="N795" s="9"/>
    </row>
    <row r="796" spans="14:14" x14ac:dyDescent="0.3">
      <c r="N796" s="9"/>
    </row>
    <row r="797" spans="14:14" x14ac:dyDescent="0.3">
      <c r="N797" s="9"/>
    </row>
    <row r="798" spans="14:14" x14ac:dyDescent="0.3">
      <c r="N798" s="9"/>
    </row>
    <row r="799" spans="14:14" x14ac:dyDescent="0.3">
      <c r="N799" s="9"/>
    </row>
    <row r="800" spans="14:14" x14ac:dyDescent="0.3">
      <c r="N800" s="9"/>
    </row>
    <row r="801" spans="14:14" x14ac:dyDescent="0.3">
      <c r="N801" s="9"/>
    </row>
    <row r="802" spans="14:14" x14ac:dyDescent="0.3">
      <c r="N802" s="9"/>
    </row>
    <row r="803" spans="14:14" x14ac:dyDescent="0.3">
      <c r="N803" s="9"/>
    </row>
    <row r="804" spans="14:14" x14ac:dyDescent="0.3">
      <c r="N804" s="9"/>
    </row>
    <row r="805" spans="14:14" x14ac:dyDescent="0.3">
      <c r="N805" s="9"/>
    </row>
    <row r="806" spans="14:14" x14ac:dyDescent="0.3">
      <c r="N806" s="9"/>
    </row>
    <row r="807" spans="14:14" x14ac:dyDescent="0.3">
      <c r="N807" s="9"/>
    </row>
    <row r="808" spans="14:14" x14ac:dyDescent="0.3">
      <c r="N808" s="9"/>
    </row>
    <row r="809" spans="14:14" x14ac:dyDescent="0.3">
      <c r="N809" s="9"/>
    </row>
    <row r="810" spans="14:14" x14ac:dyDescent="0.3">
      <c r="N810" s="9"/>
    </row>
    <row r="811" spans="14:14" x14ac:dyDescent="0.3">
      <c r="N811" s="9"/>
    </row>
    <row r="812" spans="14:14" x14ac:dyDescent="0.3">
      <c r="N812" s="9"/>
    </row>
    <row r="813" spans="14:14" x14ac:dyDescent="0.3">
      <c r="N813" s="9"/>
    </row>
    <row r="814" spans="14:14" x14ac:dyDescent="0.3">
      <c r="N814" s="9"/>
    </row>
    <row r="815" spans="14:14" x14ac:dyDescent="0.3">
      <c r="N815" s="9"/>
    </row>
    <row r="816" spans="14:14" x14ac:dyDescent="0.3">
      <c r="N816" s="9"/>
    </row>
    <row r="817" spans="14:14" x14ac:dyDescent="0.3">
      <c r="N817" s="9"/>
    </row>
    <row r="818" spans="14:14" x14ac:dyDescent="0.3">
      <c r="N818" s="9"/>
    </row>
    <row r="819" spans="14:14" x14ac:dyDescent="0.3">
      <c r="N819" s="9"/>
    </row>
    <row r="820" spans="14:14" x14ac:dyDescent="0.3">
      <c r="N820" s="9"/>
    </row>
    <row r="821" spans="14:14" x14ac:dyDescent="0.3">
      <c r="N821" s="9"/>
    </row>
    <row r="822" spans="14:14" x14ac:dyDescent="0.3">
      <c r="N822" s="9"/>
    </row>
    <row r="823" spans="14:14" x14ac:dyDescent="0.3">
      <c r="N823" s="9"/>
    </row>
    <row r="824" spans="14:14" x14ac:dyDescent="0.3">
      <c r="N824" s="9"/>
    </row>
    <row r="825" spans="14:14" x14ac:dyDescent="0.3">
      <c r="N825" s="9"/>
    </row>
    <row r="826" spans="14:14" x14ac:dyDescent="0.3">
      <c r="N826" s="9"/>
    </row>
    <row r="827" spans="14:14" x14ac:dyDescent="0.3">
      <c r="N827" s="9"/>
    </row>
    <row r="828" spans="14:14" x14ac:dyDescent="0.3">
      <c r="N828" s="9"/>
    </row>
    <row r="829" spans="14:14" x14ac:dyDescent="0.3">
      <c r="N829" s="9"/>
    </row>
    <row r="830" spans="14:14" x14ac:dyDescent="0.3">
      <c r="N830" s="9"/>
    </row>
    <row r="831" spans="14:14" x14ac:dyDescent="0.3">
      <c r="N831" s="9"/>
    </row>
    <row r="832" spans="14:14" x14ac:dyDescent="0.3">
      <c r="N832" s="9"/>
    </row>
    <row r="833" spans="14:14" x14ac:dyDescent="0.3">
      <c r="N833" s="9"/>
    </row>
    <row r="834" spans="14:14" x14ac:dyDescent="0.3">
      <c r="N834" s="9"/>
    </row>
    <row r="835" spans="14:14" x14ac:dyDescent="0.3">
      <c r="N835" s="9"/>
    </row>
    <row r="836" spans="14:14" x14ac:dyDescent="0.3">
      <c r="N836" s="9"/>
    </row>
    <row r="837" spans="14:14" x14ac:dyDescent="0.3">
      <c r="N837" s="9"/>
    </row>
    <row r="838" spans="14:14" x14ac:dyDescent="0.3">
      <c r="N838" s="9"/>
    </row>
    <row r="839" spans="14:14" x14ac:dyDescent="0.3">
      <c r="N839" s="9"/>
    </row>
    <row r="840" spans="14:14" x14ac:dyDescent="0.3">
      <c r="N840" s="9"/>
    </row>
    <row r="841" spans="14:14" x14ac:dyDescent="0.3">
      <c r="N841" s="9"/>
    </row>
    <row r="842" spans="14:14" x14ac:dyDescent="0.3">
      <c r="N842" s="9"/>
    </row>
    <row r="843" spans="14:14" x14ac:dyDescent="0.3">
      <c r="N843" s="9"/>
    </row>
    <row r="844" spans="14:14" x14ac:dyDescent="0.3">
      <c r="N844" s="9"/>
    </row>
    <row r="845" spans="14:14" x14ac:dyDescent="0.3">
      <c r="N845" s="9"/>
    </row>
    <row r="846" spans="14:14" x14ac:dyDescent="0.3">
      <c r="N846" s="9"/>
    </row>
    <row r="847" spans="14:14" x14ac:dyDescent="0.3">
      <c r="N847" s="9"/>
    </row>
    <row r="848" spans="14:14" x14ac:dyDescent="0.3">
      <c r="N848" s="9"/>
    </row>
    <row r="849" spans="14:14" x14ac:dyDescent="0.3">
      <c r="N849" s="9"/>
    </row>
    <row r="850" spans="14:14" x14ac:dyDescent="0.3">
      <c r="N850" s="9"/>
    </row>
    <row r="851" spans="14:14" x14ac:dyDescent="0.3">
      <c r="N851" s="9"/>
    </row>
    <row r="852" spans="14:14" x14ac:dyDescent="0.3">
      <c r="N852" s="9"/>
    </row>
    <row r="853" spans="14:14" x14ac:dyDescent="0.3">
      <c r="N853" s="9"/>
    </row>
    <row r="854" spans="14:14" x14ac:dyDescent="0.3">
      <c r="N854" s="9"/>
    </row>
    <row r="855" spans="14:14" x14ac:dyDescent="0.3">
      <c r="N855" s="9"/>
    </row>
    <row r="856" spans="14:14" x14ac:dyDescent="0.3">
      <c r="N856" s="9"/>
    </row>
    <row r="857" spans="14:14" x14ac:dyDescent="0.3">
      <c r="N857" s="9"/>
    </row>
    <row r="858" spans="14:14" x14ac:dyDescent="0.3">
      <c r="N858" s="9"/>
    </row>
    <row r="859" spans="14:14" x14ac:dyDescent="0.3">
      <c r="N859" s="9"/>
    </row>
    <row r="860" spans="14:14" x14ac:dyDescent="0.3">
      <c r="N860" s="9"/>
    </row>
    <row r="861" spans="14:14" x14ac:dyDescent="0.3">
      <c r="N861" s="9"/>
    </row>
    <row r="862" spans="14:14" x14ac:dyDescent="0.3">
      <c r="N862" s="9"/>
    </row>
    <row r="863" spans="14:14" x14ac:dyDescent="0.3">
      <c r="N863" s="9"/>
    </row>
    <row r="864" spans="14:14" x14ac:dyDescent="0.3">
      <c r="N864" s="9"/>
    </row>
    <row r="865" spans="14:14" x14ac:dyDescent="0.3">
      <c r="N865" s="9"/>
    </row>
    <row r="866" spans="14:14" x14ac:dyDescent="0.3">
      <c r="N866" s="9"/>
    </row>
    <row r="867" spans="14:14" x14ac:dyDescent="0.3">
      <c r="N867" s="9"/>
    </row>
    <row r="868" spans="14:14" x14ac:dyDescent="0.3">
      <c r="N868" s="9"/>
    </row>
    <row r="869" spans="14:14" x14ac:dyDescent="0.3">
      <c r="N869" s="9"/>
    </row>
    <row r="870" spans="14:14" x14ac:dyDescent="0.3">
      <c r="N870" s="9"/>
    </row>
    <row r="871" spans="14:14" x14ac:dyDescent="0.3">
      <c r="N871" s="9"/>
    </row>
    <row r="872" spans="14:14" x14ac:dyDescent="0.3">
      <c r="N872" s="9"/>
    </row>
    <row r="873" spans="14:14" x14ac:dyDescent="0.3">
      <c r="N873" s="9"/>
    </row>
    <row r="874" spans="14:14" x14ac:dyDescent="0.3">
      <c r="N874" s="9"/>
    </row>
    <row r="875" spans="14:14" x14ac:dyDescent="0.3">
      <c r="N875" s="9"/>
    </row>
    <row r="876" spans="14:14" x14ac:dyDescent="0.3">
      <c r="N876" s="9"/>
    </row>
    <row r="877" spans="14:14" x14ac:dyDescent="0.3">
      <c r="N877" s="9"/>
    </row>
    <row r="878" spans="14:14" x14ac:dyDescent="0.3">
      <c r="N878" s="9"/>
    </row>
    <row r="879" spans="14:14" x14ac:dyDescent="0.3">
      <c r="N879" s="9"/>
    </row>
    <row r="880" spans="14:14" x14ac:dyDescent="0.3">
      <c r="N880" s="9"/>
    </row>
    <row r="881" spans="14:14" x14ac:dyDescent="0.3">
      <c r="N881" s="9"/>
    </row>
    <row r="882" spans="14:14" x14ac:dyDescent="0.3">
      <c r="N882" s="9"/>
    </row>
    <row r="883" spans="14:14" x14ac:dyDescent="0.3">
      <c r="N883" s="9"/>
    </row>
    <row r="884" spans="14:14" x14ac:dyDescent="0.3">
      <c r="N884" s="9"/>
    </row>
    <row r="885" spans="14:14" x14ac:dyDescent="0.3">
      <c r="N885" s="9"/>
    </row>
    <row r="886" spans="14:14" x14ac:dyDescent="0.3">
      <c r="N886" s="9"/>
    </row>
    <row r="887" spans="14:14" x14ac:dyDescent="0.3">
      <c r="N887" s="9"/>
    </row>
    <row r="888" spans="14:14" x14ac:dyDescent="0.3">
      <c r="N888" s="9"/>
    </row>
    <row r="889" spans="14:14" x14ac:dyDescent="0.3">
      <c r="N889" s="9"/>
    </row>
    <row r="890" spans="14:14" x14ac:dyDescent="0.3">
      <c r="N890" s="9"/>
    </row>
    <row r="891" spans="14:14" x14ac:dyDescent="0.3">
      <c r="N891" s="9"/>
    </row>
    <row r="892" spans="14:14" x14ac:dyDescent="0.3">
      <c r="N892" s="9"/>
    </row>
    <row r="893" spans="14:14" x14ac:dyDescent="0.3">
      <c r="N893" s="9"/>
    </row>
    <row r="894" spans="14:14" x14ac:dyDescent="0.3">
      <c r="N894" s="9"/>
    </row>
    <row r="895" spans="14:14" x14ac:dyDescent="0.3">
      <c r="N895" s="9"/>
    </row>
    <row r="896" spans="14:14" x14ac:dyDescent="0.3">
      <c r="N896" s="9"/>
    </row>
    <row r="897" spans="14:14" x14ac:dyDescent="0.3">
      <c r="N897" s="9"/>
    </row>
    <row r="898" spans="14:14" x14ac:dyDescent="0.3">
      <c r="N898" s="9"/>
    </row>
    <row r="899" spans="14:14" x14ac:dyDescent="0.3">
      <c r="N899" s="9"/>
    </row>
    <row r="900" spans="14:14" x14ac:dyDescent="0.3">
      <c r="N900" s="9"/>
    </row>
    <row r="901" spans="14:14" x14ac:dyDescent="0.3">
      <c r="N901" s="9"/>
    </row>
    <row r="902" spans="14:14" x14ac:dyDescent="0.3">
      <c r="N902" s="9"/>
    </row>
    <row r="903" spans="14:14" x14ac:dyDescent="0.3">
      <c r="N903" s="9"/>
    </row>
    <row r="904" spans="14:14" x14ac:dyDescent="0.3">
      <c r="N904" s="9"/>
    </row>
    <row r="905" spans="14:14" x14ac:dyDescent="0.3">
      <c r="N905" s="9"/>
    </row>
    <row r="906" spans="14:14" x14ac:dyDescent="0.3">
      <c r="N906" s="9"/>
    </row>
    <row r="907" spans="14:14" x14ac:dyDescent="0.3">
      <c r="N907" s="9"/>
    </row>
    <row r="908" spans="14:14" x14ac:dyDescent="0.3">
      <c r="N908" s="9"/>
    </row>
    <row r="909" spans="14:14" x14ac:dyDescent="0.3">
      <c r="N909" s="9"/>
    </row>
    <row r="910" spans="14:14" x14ac:dyDescent="0.3">
      <c r="N910" s="9"/>
    </row>
    <row r="911" spans="14:14" x14ac:dyDescent="0.3">
      <c r="N911" s="9"/>
    </row>
    <row r="912" spans="14:14" x14ac:dyDescent="0.3">
      <c r="N912" s="9"/>
    </row>
    <row r="913" spans="14:14" x14ac:dyDescent="0.3">
      <c r="N913" s="9"/>
    </row>
    <row r="914" spans="14:14" x14ac:dyDescent="0.3">
      <c r="N914" s="9"/>
    </row>
    <row r="915" spans="14:14" x14ac:dyDescent="0.3">
      <c r="N915" s="9"/>
    </row>
    <row r="916" spans="14:14" x14ac:dyDescent="0.3">
      <c r="N916" s="9"/>
    </row>
    <row r="917" spans="14:14" x14ac:dyDescent="0.3">
      <c r="N917" s="9"/>
    </row>
    <row r="918" spans="14:14" x14ac:dyDescent="0.3">
      <c r="N918" s="9"/>
    </row>
    <row r="919" spans="14:14" x14ac:dyDescent="0.3">
      <c r="N919" s="9"/>
    </row>
    <row r="920" spans="14:14" x14ac:dyDescent="0.3">
      <c r="N920" s="9"/>
    </row>
    <row r="921" spans="14:14" x14ac:dyDescent="0.3">
      <c r="N921" s="9"/>
    </row>
    <row r="922" spans="14:14" x14ac:dyDescent="0.3">
      <c r="N922" s="9"/>
    </row>
    <row r="923" spans="14:14" x14ac:dyDescent="0.3">
      <c r="N923" s="9"/>
    </row>
    <row r="924" spans="14:14" x14ac:dyDescent="0.3">
      <c r="N924" s="9"/>
    </row>
    <row r="925" spans="14:14" x14ac:dyDescent="0.3">
      <c r="N925" s="9"/>
    </row>
    <row r="926" spans="14:14" x14ac:dyDescent="0.3">
      <c r="N926" s="9"/>
    </row>
    <row r="927" spans="14:14" x14ac:dyDescent="0.3">
      <c r="N927" s="9"/>
    </row>
    <row r="928" spans="14:14" x14ac:dyDescent="0.3">
      <c r="N928" s="9"/>
    </row>
    <row r="929" spans="14:14" x14ac:dyDescent="0.3">
      <c r="N929" s="9"/>
    </row>
    <row r="930" spans="14:14" x14ac:dyDescent="0.3">
      <c r="N930" s="9"/>
    </row>
    <row r="931" spans="14:14" x14ac:dyDescent="0.3">
      <c r="N931" s="9"/>
    </row>
    <row r="932" spans="14:14" x14ac:dyDescent="0.3">
      <c r="N932" s="9"/>
    </row>
    <row r="933" spans="14:14" x14ac:dyDescent="0.3">
      <c r="N933" s="9"/>
    </row>
    <row r="934" spans="14:14" x14ac:dyDescent="0.3">
      <c r="N934" s="9"/>
    </row>
    <row r="935" spans="14:14" x14ac:dyDescent="0.3">
      <c r="N935" s="9"/>
    </row>
    <row r="936" spans="14:14" x14ac:dyDescent="0.3">
      <c r="N936" s="9"/>
    </row>
    <row r="937" spans="14:14" x14ac:dyDescent="0.3">
      <c r="N937" s="9"/>
    </row>
    <row r="938" spans="14:14" x14ac:dyDescent="0.3">
      <c r="N938" s="9"/>
    </row>
    <row r="939" spans="14:14" x14ac:dyDescent="0.3">
      <c r="N939" s="9"/>
    </row>
    <row r="940" spans="14:14" x14ac:dyDescent="0.3">
      <c r="N940" s="9"/>
    </row>
    <row r="941" spans="14:14" x14ac:dyDescent="0.3">
      <c r="N941" s="9"/>
    </row>
    <row r="942" spans="14:14" x14ac:dyDescent="0.3">
      <c r="N942" s="9"/>
    </row>
    <row r="943" spans="14:14" x14ac:dyDescent="0.3">
      <c r="N943" s="9"/>
    </row>
    <row r="944" spans="14:14" x14ac:dyDescent="0.3">
      <c r="N944" s="9"/>
    </row>
    <row r="945" spans="14:14" x14ac:dyDescent="0.3">
      <c r="N945" s="9"/>
    </row>
    <row r="946" spans="14:14" x14ac:dyDescent="0.3">
      <c r="N946" s="9"/>
    </row>
    <row r="947" spans="14:14" x14ac:dyDescent="0.3">
      <c r="N947" s="9"/>
    </row>
    <row r="948" spans="14:14" x14ac:dyDescent="0.3">
      <c r="N948" s="9"/>
    </row>
    <row r="949" spans="14:14" x14ac:dyDescent="0.3">
      <c r="N949" s="9"/>
    </row>
    <row r="950" spans="14:14" x14ac:dyDescent="0.3">
      <c r="N950" s="9"/>
    </row>
    <row r="951" spans="14:14" x14ac:dyDescent="0.3">
      <c r="N951" s="9"/>
    </row>
    <row r="952" spans="14:14" x14ac:dyDescent="0.3">
      <c r="N952" s="9"/>
    </row>
    <row r="953" spans="14:14" x14ac:dyDescent="0.3">
      <c r="N953" s="9"/>
    </row>
    <row r="954" spans="14:14" x14ac:dyDescent="0.3">
      <c r="N954" s="9"/>
    </row>
    <row r="955" spans="14:14" x14ac:dyDescent="0.3">
      <c r="N955" s="9"/>
    </row>
    <row r="956" spans="14:14" x14ac:dyDescent="0.3">
      <c r="N956" s="9"/>
    </row>
    <row r="957" spans="14:14" x14ac:dyDescent="0.3">
      <c r="N957" s="9"/>
    </row>
    <row r="958" spans="14:14" x14ac:dyDescent="0.3">
      <c r="N958" s="9"/>
    </row>
    <row r="959" spans="14:14" x14ac:dyDescent="0.3">
      <c r="N959" s="9"/>
    </row>
    <row r="960" spans="14:14" x14ac:dyDescent="0.3">
      <c r="N960" s="9"/>
    </row>
    <row r="961" spans="14:14" x14ac:dyDescent="0.3">
      <c r="N961" s="9"/>
    </row>
    <row r="962" spans="14:14" x14ac:dyDescent="0.3">
      <c r="N962" s="9"/>
    </row>
  </sheetData>
  <mergeCells count="8">
    <mergeCell ref="A40:B40"/>
    <mergeCell ref="H2:H3"/>
    <mergeCell ref="I2:I3"/>
    <mergeCell ref="J2:J3"/>
    <mergeCell ref="K2:K3"/>
    <mergeCell ref="B2:B3"/>
    <mergeCell ref="A2:A3"/>
    <mergeCell ref="C2:G2"/>
  </mergeCells>
  <phoneticPr fontId="29" type="noConversion"/>
  <pageMargins left="0.511811024" right="0.511811024" top="0.78740157499999996" bottom="0.78740157499999996" header="0.31496062000000002" footer="0.31496062000000002"/>
  <pageSetup paperSize="9" scale="31" orientation="portrait" r:id="rId1"/>
  <colBreaks count="1" manualBreakCount="1">
    <brk id="17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6702-828E-4C96-841A-DAF9C826F0CB}">
  <dimension ref="A1:AN965"/>
  <sheetViews>
    <sheetView zoomScale="130" zoomScaleNormal="130" workbookViewId="0">
      <pane ySplit="3" topLeftCell="A4" activePane="bottomLeft" state="frozen"/>
      <selection pane="bottomLeft" activeCell="C40" sqref="C40:F40"/>
    </sheetView>
  </sheetViews>
  <sheetFormatPr defaultColWidth="8.6640625" defaultRowHeight="14.4" x14ac:dyDescent="0.3"/>
  <cols>
    <col min="1" max="1" width="39.44140625" customWidth="1"/>
    <col min="2" max="2" width="20.44140625" bestFit="1" customWidth="1"/>
    <col min="3" max="3" width="22.77734375" customWidth="1"/>
    <col min="4" max="5" width="14.33203125" bestFit="1" customWidth="1"/>
    <col min="6" max="6" width="28.109375" bestFit="1" customWidth="1"/>
    <col min="7" max="7" width="22" style="253" customWidth="1"/>
    <col min="8" max="8" width="14.33203125" customWidth="1"/>
    <col min="9" max="9" width="14.33203125" style="308" customWidth="1"/>
    <col min="10" max="10" width="14.33203125" customWidth="1"/>
    <col min="11" max="11" width="15.88671875" hidden="1" customWidth="1"/>
    <col min="12" max="12" width="12.6640625" hidden="1" customWidth="1"/>
    <col min="13" max="13" width="14.33203125" hidden="1" customWidth="1"/>
    <col min="14" max="15" width="25.6640625" hidden="1" customWidth="1"/>
    <col min="16" max="16" width="32.6640625" hidden="1" customWidth="1"/>
    <col min="17" max="17" width="22" hidden="1" customWidth="1"/>
    <col min="18" max="18" width="28.6640625" style="96" hidden="1" customWidth="1"/>
    <col min="19" max="19" width="35.33203125" style="96" hidden="1" customWidth="1"/>
    <col min="20" max="20" width="30.88671875" style="96" hidden="1" customWidth="1"/>
    <col min="21" max="21" width="14.33203125" style="96" customWidth="1"/>
    <col min="22" max="22" width="8.6640625" style="96"/>
    <col min="23" max="23" width="11" style="96" customWidth="1"/>
    <col min="24" max="26" width="8.6640625" style="96"/>
    <col min="27" max="27" width="10.88671875" style="96" customWidth="1"/>
    <col min="28" max="29" width="8.6640625" style="96"/>
    <col min="30" max="30" width="12.33203125" style="96" bestFit="1" customWidth="1"/>
    <col min="33" max="33" width="11.88671875" customWidth="1"/>
  </cols>
  <sheetData>
    <row r="1" spans="1:40" x14ac:dyDescent="0.3">
      <c r="A1" s="30" t="s">
        <v>140</v>
      </c>
      <c r="B1" s="30"/>
      <c r="C1" s="30"/>
      <c r="D1" s="30"/>
      <c r="E1" s="30"/>
      <c r="F1" s="30"/>
      <c r="G1" s="16"/>
      <c r="H1" s="30"/>
      <c r="I1" s="292"/>
      <c r="J1" s="30"/>
      <c r="K1" s="30"/>
      <c r="L1" s="30"/>
      <c r="N1" s="12"/>
    </row>
    <row r="2" spans="1:40" x14ac:dyDescent="0.3">
      <c r="A2" s="8" t="s">
        <v>30</v>
      </c>
      <c r="B2" s="8" t="s">
        <v>1</v>
      </c>
      <c r="C2" s="8" t="s">
        <v>31</v>
      </c>
      <c r="D2" s="8"/>
      <c r="E2" s="8"/>
      <c r="F2" s="8"/>
      <c r="G2" s="249"/>
      <c r="H2" s="275" t="s">
        <v>37</v>
      </c>
      <c r="I2" s="336" t="s">
        <v>224</v>
      </c>
      <c r="J2" s="277" t="s">
        <v>39</v>
      </c>
      <c r="K2" s="9"/>
      <c r="L2" s="9"/>
      <c r="N2" s="53" t="s">
        <v>107</v>
      </c>
      <c r="O2" s="43" t="s">
        <v>256</v>
      </c>
      <c r="P2" s="43"/>
      <c r="Q2" s="43"/>
    </row>
    <row r="3" spans="1:40" x14ac:dyDescent="0.3">
      <c r="A3" s="7"/>
      <c r="B3" s="7"/>
      <c r="C3" s="7" t="s">
        <v>279</v>
      </c>
      <c r="D3" s="7" t="s">
        <v>33</v>
      </c>
      <c r="E3" s="7" t="s">
        <v>34</v>
      </c>
      <c r="F3" s="7" t="s">
        <v>229</v>
      </c>
      <c r="G3" s="250" t="s">
        <v>35</v>
      </c>
      <c r="H3" s="276"/>
      <c r="I3" s="337"/>
      <c r="J3" s="278"/>
      <c r="K3" s="8" t="s">
        <v>208</v>
      </c>
      <c r="L3" s="8" t="s">
        <v>78</v>
      </c>
      <c r="N3" s="8" t="s">
        <v>108</v>
      </c>
      <c r="O3" s="8" t="s">
        <v>130</v>
      </c>
      <c r="P3" s="71" t="s">
        <v>132</v>
      </c>
      <c r="Q3" s="71" t="s">
        <v>254</v>
      </c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</row>
    <row r="4" spans="1:40" x14ac:dyDescent="0.3">
      <c r="A4" s="216" t="s">
        <v>15</v>
      </c>
      <c r="B4" s="215" t="s">
        <v>5</v>
      </c>
      <c r="C4" s="266">
        <f>781.97+220.99+30602.44+116123.92</f>
        <v>147729.32</v>
      </c>
      <c r="D4" s="16">
        <f>63388.58+13734.19</f>
        <v>77122.77</v>
      </c>
      <c r="E4" s="267">
        <v>0</v>
      </c>
      <c r="F4" s="267">
        <v>0</v>
      </c>
      <c r="G4" s="360">
        <f t="shared" ref="G4:G12" si="0">SUM(C4:E4)</f>
        <v>224852.09000000003</v>
      </c>
      <c r="H4" s="361">
        <f>G4*15%</f>
        <v>33727.813500000004</v>
      </c>
      <c r="I4" s="305">
        <v>0.15</v>
      </c>
      <c r="J4" s="21" t="s">
        <v>139</v>
      </c>
      <c r="K4" s="280">
        <f>H4</f>
        <v>33727.813500000004</v>
      </c>
      <c r="L4" s="21"/>
      <c r="M4" s="1" t="s">
        <v>127</v>
      </c>
      <c r="N4" s="17">
        <f>'fluxo caixa jan 2026'!N4-'fluxo caixa fev 2026'!G4</f>
        <v>1573842.3299999998</v>
      </c>
      <c r="O4" s="17">
        <f>'fluxo caixa dez 2025'!N5</f>
        <v>0</v>
      </c>
      <c r="P4" s="17"/>
      <c r="Q4" s="25">
        <f>N4+O4*I4</f>
        <v>1573842.3299999998</v>
      </c>
      <c r="R4" s="318">
        <v>1.00186639200226E+22</v>
      </c>
      <c r="S4" s="319">
        <v>1.00186639200226E+22</v>
      </c>
      <c r="T4" s="318"/>
      <c r="U4" s="320"/>
      <c r="V4" s="138"/>
      <c r="W4" s="138"/>
      <c r="Y4" s="138"/>
      <c r="Z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</row>
    <row r="5" spans="1:40" x14ac:dyDescent="0.3">
      <c r="A5" s="216" t="s">
        <v>3</v>
      </c>
      <c r="B5" s="215" t="s">
        <v>4</v>
      </c>
      <c r="C5" s="22">
        <f>23050.96+6224.91</f>
        <v>29275.87</v>
      </c>
      <c r="D5" s="266">
        <f>5922.4+1245.63</f>
        <v>7168.03</v>
      </c>
      <c r="E5" s="267">
        <v>0</v>
      </c>
      <c r="F5" s="267">
        <v>0</v>
      </c>
      <c r="G5" s="360">
        <f>SUM(C5:F5)</f>
        <v>36443.9</v>
      </c>
      <c r="H5" s="361">
        <f>G5*12.5%</f>
        <v>4555.4875000000002</v>
      </c>
      <c r="I5" s="305">
        <v>0.125</v>
      </c>
      <c r="J5" s="21" t="s">
        <v>139</v>
      </c>
      <c r="K5" s="280">
        <f t="shared" ref="K5:K31" si="1">H5</f>
        <v>4555.4875000000002</v>
      </c>
      <c r="L5" s="21"/>
      <c r="M5" s="279"/>
      <c r="N5" s="17">
        <f>'fluxo caixa jan 2026'!N5-'fluxo caixa fev 2026'!G5</f>
        <v>429425.7</v>
      </c>
      <c r="O5" s="17">
        <f>'fluxo caixa dez 2025'!N6</f>
        <v>0</v>
      </c>
      <c r="P5" s="17"/>
      <c r="Q5" s="25">
        <f t="shared" ref="Q5:Q32" si="2">N5+O5*I5</f>
        <v>429425.7</v>
      </c>
      <c r="R5" s="318"/>
      <c r="S5" s="318"/>
      <c r="T5" s="318"/>
      <c r="U5" s="320"/>
      <c r="V5" s="138"/>
      <c r="W5" s="138"/>
      <c r="Y5" s="143"/>
      <c r="Z5" s="138"/>
      <c r="AA5" s="138"/>
      <c r="AB5" s="143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</row>
    <row r="6" spans="1:40" x14ac:dyDescent="0.3">
      <c r="A6" s="216" t="s">
        <v>40</v>
      </c>
      <c r="B6" s="215" t="s">
        <v>47</v>
      </c>
      <c r="C6" s="22">
        <f>8098.01+31015.58+128.31</f>
        <v>39241.9</v>
      </c>
      <c r="D6" s="22"/>
      <c r="E6" s="267">
        <v>0</v>
      </c>
      <c r="F6" s="267">
        <v>0</v>
      </c>
      <c r="G6" s="360">
        <f t="shared" si="0"/>
        <v>39241.9</v>
      </c>
      <c r="H6" s="361">
        <f>G6*12.5%</f>
        <v>4905.2375000000002</v>
      </c>
      <c r="I6" s="305">
        <v>0.125</v>
      </c>
      <c r="J6" s="21" t="s">
        <v>139</v>
      </c>
      <c r="K6" s="280">
        <f t="shared" si="1"/>
        <v>4905.2375000000002</v>
      </c>
      <c r="L6" s="21"/>
      <c r="M6" s="1"/>
      <c r="N6" s="17">
        <v>0</v>
      </c>
      <c r="O6" s="17">
        <f>'fluxo caixa jan 2026'!O6-'fluxo caixa fev 2026'!G6</f>
        <v>-238209.05000000002</v>
      </c>
      <c r="P6" s="17"/>
      <c r="Q6" s="25">
        <f t="shared" si="2"/>
        <v>-29776.131250000002</v>
      </c>
      <c r="R6" s="318"/>
      <c r="S6" s="318"/>
      <c r="T6" s="318"/>
      <c r="U6" s="320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</row>
    <row r="7" spans="1:40" x14ac:dyDescent="0.3">
      <c r="A7" s="216" t="s">
        <v>49</v>
      </c>
      <c r="B7" s="215" t="s">
        <v>42</v>
      </c>
      <c r="C7" s="22">
        <f>113.98+216.64+2780.5+590.89+16762.64+78004.72</f>
        <v>98469.37</v>
      </c>
      <c r="D7" s="22">
        <f>14535.58+3069.05</f>
        <v>17604.63</v>
      </c>
      <c r="E7" s="267">
        <v>0</v>
      </c>
      <c r="F7" s="267">
        <v>0</v>
      </c>
      <c r="G7" s="360">
        <f t="shared" si="0"/>
        <v>116074</v>
      </c>
      <c r="H7" s="361">
        <f>G7*12.5%</f>
        <v>14509.25</v>
      </c>
      <c r="I7" s="305">
        <v>0.125</v>
      </c>
      <c r="J7" s="21" t="s">
        <v>139</v>
      </c>
      <c r="K7" s="280">
        <f t="shared" si="1"/>
        <v>14509.25</v>
      </c>
      <c r="L7" s="21"/>
      <c r="M7" s="1"/>
      <c r="N7" s="17">
        <f>'fluxo caixa jan 2026'!N7-'fluxo caixa fev 2026'!G7</f>
        <v>499259.82999999984</v>
      </c>
      <c r="O7" s="17">
        <v>0</v>
      </c>
      <c r="P7" s="17"/>
      <c r="Q7" s="25">
        <f t="shared" si="2"/>
        <v>499259.82999999984</v>
      </c>
      <c r="R7" s="318"/>
      <c r="S7" s="318"/>
      <c r="T7" s="318"/>
      <c r="U7" s="320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</row>
    <row r="8" spans="1:40" x14ac:dyDescent="0.3">
      <c r="A8" s="218" t="s">
        <v>53</v>
      </c>
      <c r="B8" s="215" t="s">
        <v>6</v>
      </c>
      <c r="C8" s="22">
        <f>86794.6+9+331.55</f>
        <v>87135.150000000009</v>
      </c>
      <c r="D8" s="22">
        <f>37668.1+8176.13</f>
        <v>45844.229999999996</v>
      </c>
      <c r="E8" s="267">
        <v>0</v>
      </c>
      <c r="F8" s="267">
        <v>0</v>
      </c>
      <c r="G8" s="360">
        <f t="shared" si="0"/>
        <v>132979.38</v>
      </c>
      <c r="H8" s="361">
        <f>G8*15%-1475.88</f>
        <v>18471.026999999998</v>
      </c>
      <c r="I8" s="305">
        <v>0.15</v>
      </c>
      <c r="J8" s="21" t="s">
        <v>139</v>
      </c>
      <c r="K8" s="280">
        <f t="shared" si="1"/>
        <v>18471.026999999998</v>
      </c>
      <c r="L8" s="21"/>
      <c r="M8" s="1"/>
      <c r="N8" s="17">
        <f>'fluxo caixa jan 2026'!N8-'fluxo caixa fev 2026'!G8</f>
        <v>2263170.08</v>
      </c>
      <c r="O8" s="17">
        <f>Controle!J13</f>
        <v>1047001.63</v>
      </c>
      <c r="P8" s="17"/>
      <c r="Q8" s="25">
        <f t="shared" si="2"/>
        <v>2420220.3245000001</v>
      </c>
      <c r="R8" s="318"/>
      <c r="S8" s="318"/>
      <c r="T8" s="318"/>
      <c r="U8" s="320"/>
      <c r="V8" s="138"/>
      <c r="W8" s="138"/>
      <c r="Y8" s="143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</row>
    <row r="9" spans="1:40" x14ac:dyDescent="0.3">
      <c r="A9" s="216" t="s">
        <v>74</v>
      </c>
      <c r="B9" s="215" t="s">
        <v>75</v>
      </c>
      <c r="C9" s="22">
        <f>380.36+64.8+617.46+42805.87</f>
        <v>43868.490000000005</v>
      </c>
      <c r="D9" s="22">
        <f>18468.32+3999.72</f>
        <v>22468.04</v>
      </c>
      <c r="E9" s="267">
        <v>0</v>
      </c>
      <c r="F9" s="267">
        <v>0</v>
      </c>
      <c r="G9" s="360">
        <f>SUM(C9:E9)</f>
        <v>66336.53</v>
      </c>
      <c r="H9" s="361">
        <f>G9*20%</f>
        <v>13267.306</v>
      </c>
      <c r="I9" s="305">
        <v>0.2</v>
      </c>
      <c r="J9" s="21" t="s">
        <v>139</v>
      </c>
      <c r="K9" s="280">
        <f t="shared" si="1"/>
        <v>13267.306</v>
      </c>
      <c r="L9" s="21"/>
      <c r="M9" s="1"/>
      <c r="N9" s="17"/>
      <c r="O9" s="17">
        <f>'fluxo caixa jan 2026'!O9-'fluxo caixa fev 2026'!G9</f>
        <v>-147818.26</v>
      </c>
      <c r="P9" s="17"/>
      <c r="Q9" s="25">
        <f t="shared" si="2"/>
        <v>-29563.652000000002</v>
      </c>
      <c r="R9" s="318"/>
      <c r="S9" s="318"/>
      <c r="T9" s="318"/>
      <c r="U9" s="320"/>
      <c r="V9" s="143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</row>
    <row r="10" spans="1:40" x14ac:dyDescent="0.3">
      <c r="A10" s="216" t="s">
        <v>77</v>
      </c>
      <c r="B10" s="215" t="s">
        <v>76</v>
      </c>
      <c r="C10" s="22">
        <f>5038.86+19215.32+156.57</f>
        <v>24410.75</v>
      </c>
      <c r="D10" s="22"/>
      <c r="E10" s="267">
        <v>0</v>
      </c>
      <c r="F10" s="267">
        <v>0</v>
      </c>
      <c r="G10" s="360">
        <f t="shared" si="0"/>
        <v>24410.75</v>
      </c>
      <c r="H10" s="361">
        <f>G10*20%</f>
        <v>4882.1500000000005</v>
      </c>
      <c r="I10" s="305">
        <v>0.2</v>
      </c>
      <c r="J10" s="21" t="s">
        <v>139</v>
      </c>
      <c r="K10" s="280">
        <f t="shared" si="1"/>
        <v>4882.1500000000005</v>
      </c>
      <c r="L10" s="21"/>
      <c r="M10" s="1"/>
      <c r="N10" s="17"/>
      <c r="O10" s="17">
        <f>'fluxo caixa jan 2026'!O10-'fluxo caixa fev 2026'!G10</f>
        <v>-265199.46999999997</v>
      </c>
      <c r="P10" s="17"/>
      <c r="Q10" s="25">
        <f t="shared" si="2"/>
        <v>-53039.894</v>
      </c>
      <c r="R10" s="318"/>
      <c r="S10" s="318"/>
      <c r="T10" s="318"/>
      <c r="U10" s="320"/>
      <c r="V10" s="138"/>
      <c r="W10" s="138"/>
      <c r="X10" s="138"/>
      <c r="Y10" s="138"/>
      <c r="AA10" s="138"/>
      <c r="AB10" s="138"/>
      <c r="AD10" s="138"/>
      <c r="AE10" s="138"/>
      <c r="AF10" s="138"/>
      <c r="AG10" s="138"/>
      <c r="AH10" s="138"/>
      <c r="AI10" s="138"/>
      <c r="AJ10" s="138"/>
      <c r="AK10" s="138"/>
      <c r="AM10" s="138"/>
      <c r="AN10" s="138"/>
    </row>
    <row r="11" spans="1:40" x14ac:dyDescent="0.3">
      <c r="A11" s="216" t="s">
        <v>287</v>
      </c>
      <c r="B11" s="215" t="s">
        <v>60</v>
      </c>
      <c r="C11" s="22"/>
      <c r="D11" s="22"/>
      <c r="E11" s="267">
        <v>0</v>
      </c>
      <c r="F11" s="267">
        <v>0</v>
      </c>
      <c r="G11" s="360">
        <f t="shared" si="0"/>
        <v>0</v>
      </c>
      <c r="H11" s="361">
        <f>G11*20%</f>
        <v>0</v>
      </c>
      <c r="I11" s="305">
        <v>0</v>
      </c>
      <c r="J11" s="21" t="s">
        <v>139</v>
      </c>
      <c r="K11" s="280">
        <f t="shared" si="1"/>
        <v>0</v>
      </c>
      <c r="L11" s="21"/>
      <c r="M11" s="1"/>
      <c r="N11" s="17">
        <f>'fluxo caixa dez 2025'!M12-G11</f>
        <v>0</v>
      </c>
      <c r="O11" s="17">
        <f>'fluxo caixa dez 2025'!N12-G11</f>
        <v>0</v>
      </c>
      <c r="P11" s="17"/>
      <c r="Q11" s="25">
        <f t="shared" si="2"/>
        <v>0</v>
      </c>
      <c r="R11" s="318"/>
      <c r="S11" s="318"/>
      <c r="T11" s="318"/>
      <c r="U11" s="320"/>
      <c r="V11" s="138"/>
      <c r="W11" s="138"/>
      <c r="X11" s="138"/>
      <c r="Y11" s="138"/>
      <c r="Z11" s="138"/>
      <c r="AA11" s="138"/>
      <c r="AB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</row>
    <row r="12" spans="1:40" x14ac:dyDescent="0.3">
      <c r="A12" s="216" t="s">
        <v>79</v>
      </c>
      <c r="B12" s="215" t="s">
        <v>84</v>
      </c>
      <c r="C12" s="267">
        <f>78.19+4766.82+19101.16</f>
        <v>23946.17</v>
      </c>
      <c r="D12" s="267">
        <f>1400.96+288.52</f>
        <v>1689.48</v>
      </c>
      <c r="E12" s="267">
        <v>0</v>
      </c>
      <c r="F12" s="267">
        <v>0</v>
      </c>
      <c r="G12" s="360">
        <f t="shared" si="0"/>
        <v>25635.649999999998</v>
      </c>
      <c r="H12" s="362">
        <f>G12*15%</f>
        <v>3845.3474999999994</v>
      </c>
      <c r="I12" s="305">
        <v>0.15</v>
      </c>
      <c r="J12" s="21" t="s">
        <v>139</v>
      </c>
      <c r="K12" s="280">
        <f t="shared" si="1"/>
        <v>3845.3474999999994</v>
      </c>
      <c r="L12" s="81"/>
      <c r="M12" s="1"/>
      <c r="N12" s="17">
        <f>'fluxo caixa jan 2026'!N12-'fluxo caixa fev 2026'!G12</f>
        <v>-90523.569999999992</v>
      </c>
      <c r="O12" s="17">
        <f>'fluxo caixa dez 2025'!N13</f>
        <v>0</v>
      </c>
      <c r="P12" s="17"/>
      <c r="Q12" s="25">
        <f t="shared" si="2"/>
        <v>-90523.569999999992</v>
      </c>
      <c r="R12" s="318"/>
      <c r="S12" s="318"/>
      <c r="T12" s="318"/>
      <c r="U12" s="320"/>
      <c r="V12" s="138"/>
      <c r="W12" s="138"/>
      <c r="X12" s="138"/>
      <c r="Y12" s="138"/>
      <c r="Z12" s="138"/>
      <c r="AA12" s="138"/>
      <c r="AB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</row>
    <row r="13" spans="1:40" x14ac:dyDescent="0.3">
      <c r="A13" s="216" t="s">
        <v>80</v>
      </c>
      <c r="B13" s="215" t="s">
        <v>85</v>
      </c>
      <c r="C13" s="267">
        <f>219.33+6457.84+19914.56+73471.53</f>
        <v>100063.26000000001</v>
      </c>
      <c r="D13" s="267">
        <f>18204.74+3859.76</f>
        <v>22064.5</v>
      </c>
      <c r="E13" s="267">
        <v>0</v>
      </c>
      <c r="F13" s="267">
        <v>0</v>
      </c>
      <c r="G13" s="360">
        <f>C13+D13+E13</f>
        <v>122127.76000000001</v>
      </c>
      <c r="H13" s="362">
        <f>G13*15%</f>
        <v>18319.164000000001</v>
      </c>
      <c r="I13" s="305">
        <v>0.15</v>
      </c>
      <c r="J13" s="21" t="s">
        <v>139</v>
      </c>
      <c r="K13" s="280">
        <f t="shared" si="1"/>
        <v>18319.164000000001</v>
      </c>
      <c r="L13" s="81"/>
      <c r="M13" s="1"/>
      <c r="N13" s="17">
        <v>0</v>
      </c>
      <c r="O13" s="17">
        <v>0</v>
      </c>
      <c r="P13" s="4">
        <f>Controle!K17-E13-12932.11</f>
        <v>309926.57120000001</v>
      </c>
      <c r="Q13" s="25">
        <f t="shared" si="2"/>
        <v>0</v>
      </c>
      <c r="R13" s="318"/>
      <c r="S13" s="318"/>
      <c r="T13" s="318"/>
      <c r="U13" s="320"/>
      <c r="V13" s="138"/>
      <c r="W13" s="138"/>
      <c r="Y13" s="138"/>
      <c r="Z13" s="138"/>
      <c r="AB13" s="138"/>
      <c r="AC13" s="138"/>
      <c r="AE13" s="138"/>
      <c r="AF13" s="138"/>
      <c r="AH13" s="138"/>
      <c r="AI13" s="138"/>
      <c r="AJ13" s="138"/>
      <c r="AK13" s="138"/>
      <c r="AL13" s="138"/>
      <c r="AM13" s="138"/>
      <c r="AN13" s="138"/>
    </row>
    <row r="14" spans="1:40" x14ac:dyDescent="0.3">
      <c r="A14" s="216" t="s">
        <v>82</v>
      </c>
      <c r="B14" s="215" t="s">
        <v>86</v>
      </c>
      <c r="C14" s="267">
        <f>11.73+146.26+22594.83+6657.22+5111.05</f>
        <v>34521.090000000004</v>
      </c>
      <c r="D14" s="266">
        <f>9342.51+2028.32</f>
        <v>11370.83</v>
      </c>
      <c r="E14" s="267">
        <v>0</v>
      </c>
      <c r="F14" s="267">
        <v>0</v>
      </c>
      <c r="G14" s="360">
        <f>SUM(C14:E14)</f>
        <v>45891.920000000006</v>
      </c>
      <c r="H14" s="362">
        <f>G14*20%</f>
        <v>9178.3840000000018</v>
      </c>
      <c r="I14" s="305">
        <v>0.2</v>
      </c>
      <c r="J14" s="21" t="s">
        <v>139</v>
      </c>
      <c r="K14" s="280">
        <f t="shared" si="1"/>
        <v>9178.3840000000018</v>
      </c>
      <c r="L14" s="81"/>
      <c r="M14" s="1"/>
      <c r="N14" s="17">
        <f>'fluxo caixa jan 2026'!N14-'fluxo caixa fev 2026'!G14</f>
        <v>-201525.03</v>
      </c>
      <c r="O14" s="17">
        <v>0</v>
      </c>
      <c r="P14" s="1"/>
      <c r="Q14" s="25">
        <f t="shared" si="2"/>
        <v>-201525.03</v>
      </c>
      <c r="R14" s="318"/>
      <c r="S14" s="318"/>
      <c r="T14" s="318"/>
      <c r="U14" s="320"/>
      <c r="V14" s="138"/>
      <c r="W14" s="138"/>
      <c r="X14" s="138"/>
      <c r="Y14" s="138"/>
      <c r="AA14" s="138"/>
      <c r="AB14" s="143"/>
      <c r="AC14" s="138"/>
      <c r="AD14" s="138"/>
      <c r="AE14" s="143"/>
      <c r="AF14" s="138"/>
      <c r="AG14" s="138"/>
      <c r="AH14" s="138"/>
      <c r="AI14" s="138"/>
      <c r="AJ14" s="138"/>
      <c r="AK14" s="138"/>
      <c r="AL14" s="138"/>
      <c r="AM14" s="138"/>
      <c r="AN14" s="138"/>
    </row>
    <row r="15" spans="1:40" x14ac:dyDescent="0.3">
      <c r="A15" s="216" t="s">
        <v>83</v>
      </c>
      <c r="B15" s="215" t="s">
        <v>87</v>
      </c>
      <c r="C15" s="267">
        <f>1990.14+80.69</f>
        <v>2070.83</v>
      </c>
      <c r="D15" s="267"/>
      <c r="E15" s="267">
        <v>0</v>
      </c>
      <c r="F15" s="267">
        <v>0</v>
      </c>
      <c r="G15" s="360">
        <f>SUM(C15:E15)</f>
        <v>2070.83</v>
      </c>
      <c r="H15" s="362">
        <f>G15*20%</f>
        <v>414.166</v>
      </c>
      <c r="I15" s="305">
        <v>0.2</v>
      </c>
      <c r="J15" s="21" t="s">
        <v>139</v>
      </c>
      <c r="K15" s="280">
        <f t="shared" si="1"/>
        <v>414.166</v>
      </c>
      <c r="L15" s="81"/>
      <c r="M15" s="1"/>
      <c r="N15" s="17">
        <v>0</v>
      </c>
      <c r="O15" s="17">
        <f>'fluxo caixa jan 2026'!O15-'fluxo caixa fev 2026'!G15</f>
        <v>61918.06</v>
      </c>
      <c r="P15" s="17"/>
      <c r="Q15" s="25">
        <f t="shared" si="2"/>
        <v>12383.612000000001</v>
      </c>
      <c r="R15" s="318"/>
      <c r="S15" s="321"/>
      <c r="T15" s="318"/>
      <c r="U15" s="320"/>
      <c r="V15" s="143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</row>
    <row r="16" spans="1:40" x14ac:dyDescent="0.3">
      <c r="A16" s="216" t="s">
        <v>122</v>
      </c>
      <c r="B16" s="215" t="s">
        <v>123</v>
      </c>
      <c r="C16" s="267">
        <f>6977.17+28223.86</f>
        <v>35201.03</v>
      </c>
      <c r="D16" s="267">
        <f>48144.99+10451.96</f>
        <v>58596.95</v>
      </c>
      <c r="E16" s="267">
        <v>0</v>
      </c>
      <c r="F16" s="267">
        <v>0</v>
      </c>
      <c r="G16" s="360">
        <f>C16+D16+E16</f>
        <v>93797.98</v>
      </c>
      <c r="H16" s="362">
        <f>G16*20%</f>
        <v>18759.596000000001</v>
      </c>
      <c r="I16" s="305">
        <v>0.2</v>
      </c>
      <c r="J16" s="21" t="s">
        <v>139</v>
      </c>
      <c r="K16" s="280">
        <f t="shared" si="1"/>
        <v>18759.596000000001</v>
      </c>
      <c r="L16" s="81"/>
      <c r="M16" s="1"/>
      <c r="N16" s="17"/>
      <c r="O16" s="17">
        <f>'fluxo caixa jan 2026'!O16-'fluxo caixa fev 2026'!G16</f>
        <v>1197565.0900000001</v>
      </c>
      <c r="P16" s="17"/>
      <c r="Q16" s="25">
        <f t="shared" si="2"/>
        <v>239513.01800000004</v>
      </c>
      <c r="R16" s="318"/>
      <c r="S16" s="318"/>
      <c r="T16" s="318"/>
      <c r="U16" s="320"/>
      <c r="V16" s="138"/>
      <c r="X16" s="138"/>
      <c r="Y16" s="143"/>
      <c r="Z16" s="138"/>
      <c r="AA16" s="138"/>
      <c r="AB16" s="143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</row>
    <row r="17" spans="1:40" x14ac:dyDescent="0.3">
      <c r="A17" s="62" t="s">
        <v>52</v>
      </c>
      <c r="B17" s="80" t="s">
        <v>59</v>
      </c>
      <c r="C17" s="267">
        <v>340788.89</v>
      </c>
      <c r="D17" s="267">
        <v>0</v>
      </c>
      <c r="E17" s="267">
        <v>0</v>
      </c>
      <c r="F17" s="267">
        <v>0</v>
      </c>
      <c r="G17" s="360">
        <f t="shared" ref="G17:G27" si="3">C17+D17+E17</f>
        <v>340788.89</v>
      </c>
      <c r="H17" s="362">
        <f>G17*10%</f>
        <v>34078.889000000003</v>
      </c>
      <c r="I17" s="306">
        <v>0.1</v>
      </c>
      <c r="J17" s="21" t="s">
        <v>139</v>
      </c>
      <c r="K17" s="280">
        <f t="shared" si="1"/>
        <v>34078.889000000003</v>
      </c>
      <c r="L17" s="81"/>
      <c r="M17" s="1"/>
      <c r="N17" s="17">
        <v>0</v>
      </c>
      <c r="O17" s="1">
        <v>0</v>
      </c>
      <c r="P17" s="17">
        <f>'fluxo caixa jan 2026'!P17-'fluxo caixa fev 2026'!G17</f>
        <v>0</v>
      </c>
      <c r="Q17" s="25">
        <f t="shared" si="2"/>
        <v>0</v>
      </c>
      <c r="R17" s="318"/>
      <c r="S17" s="318"/>
      <c r="T17" s="318"/>
      <c r="U17" s="320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</row>
    <row r="18" spans="1:40" x14ac:dyDescent="0.3">
      <c r="A18" s="216" t="s">
        <v>136</v>
      </c>
      <c r="B18" s="215" t="s">
        <v>137</v>
      </c>
      <c r="C18" s="267">
        <f>26134.6+96286.66</f>
        <v>122421.26000000001</v>
      </c>
      <c r="D18" s="267">
        <f>65510.84+14142.09</f>
        <v>79652.929999999993</v>
      </c>
      <c r="E18" s="267">
        <v>0</v>
      </c>
      <c r="F18" s="267">
        <v>0</v>
      </c>
      <c r="G18" s="360">
        <f>C18+D18+E18</f>
        <v>202074.19</v>
      </c>
      <c r="H18" s="362">
        <f>G18*15%</f>
        <v>30311.128499999999</v>
      </c>
      <c r="I18" s="305">
        <v>0.15</v>
      </c>
      <c r="J18" s="21" t="s">
        <v>139</v>
      </c>
      <c r="K18" s="280">
        <f t="shared" si="1"/>
        <v>30311.128499999999</v>
      </c>
      <c r="L18" s="81"/>
      <c r="M18" s="1"/>
      <c r="N18" s="17"/>
      <c r="O18" s="17">
        <f>'fluxo caixa jan 2026'!O18-'fluxo caixa fev 2026'!G18</f>
        <v>944406.84000000008</v>
      </c>
      <c r="P18" s="17">
        <v>0</v>
      </c>
      <c r="Q18" s="25">
        <f t="shared" si="2"/>
        <v>141661.02600000001</v>
      </c>
      <c r="R18" s="318"/>
      <c r="S18" s="318"/>
      <c r="T18" s="318"/>
      <c r="U18" s="320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</row>
    <row r="19" spans="1:40" x14ac:dyDescent="0.3">
      <c r="A19" s="216" t="s">
        <v>55</v>
      </c>
      <c r="B19" s="215" t="s">
        <v>62</v>
      </c>
      <c r="C19" s="267">
        <f>156.86+1674.29+17.45+5.1</f>
        <v>1853.7</v>
      </c>
      <c r="D19" s="267">
        <f>6969.2+2103.34</f>
        <v>9072.5400000000009</v>
      </c>
      <c r="E19" s="267">
        <v>0</v>
      </c>
      <c r="F19" s="267">
        <v>0</v>
      </c>
      <c r="G19" s="360">
        <f>C19+D19+E19+F19</f>
        <v>10926.240000000002</v>
      </c>
      <c r="H19" s="362">
        <f>G19*12.5%</f>
        <v>1365.7800000000002</v>
      </c>
      <c r="I19" s="305">
        <v>0.125</v>
      </c>
      <c r="J19" s="21" t="s">
        <v>139</v>
      </c>
      <c r="K19" s="280">
        <f t="shared" si="1"/>
        <v>1365.7800000000002</v>
      </c>
      <c r="L19" s="81"/>
      <c r="M19" s="1"/>
      <c r="N19" s="17">
        <v>0</v>
      </c>
      <c r="O19" s="17">
        <f>'fluxo caixa jan 2026'!O19-'fluxo caixa fev 2026'!G19</f>
        <v>386265.97</v>
      </c>
      <c r="P19" s="17">
        <f>Controle!K29</f>
        <v>2283.29</v>
      </c>
      <c r="Q19" s="25">
        <f t="shared" si="2"/>
        <v>48283.246249999997</v>
      </c>
      <c r="R19" s="318"/>
      <c r="S19" s="321"/>
      <c r="T19" s="318"/>
      <c r="U19" s="320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</row>
    <row r="20" spans="1:40" x14ac:dyDescent="0.3">
      <c r="A20" s="216" t="s">
        <v>135</v>
      </c>
      <c r="B20" s="215" t="s">
        <v>138</v>
      </c>
      <c r="C20" s="267">
        <f>243.13+15.07+189.95</f>
        <v>448.15</v>
      </c>
      <c r="D20" s="267"/>
      <c r="E20" s="267">
        <v>0</v>
      </c>
      <c r="F20" s="267">
        <v>0</v>
      </c>
      <c r="G20" s="360">
        <f>C20+D20+E20+F20</f>
        <v>448.15</v>
      </c>
      <c r="H20" s="362">
        <f>G20*12.5%</f>
        <v>56.018749999999997</v>
      </c>
      <c r="I20" s="305">
        <v>0.125</v>
      </c>
      <c r="J20" s="21" t="s">
        <v>139</v>
      </c>
      <c r="K20" s="280">
        <f t="shared" si="1"/>
        <v>56.018749999999997</v>
      </c>
      <c r="L20" s="81"/>
      <c r="M20" s="1"/>
      <c r="N20" s="17">
        <f>'fluxo caixa jan 2026'!N20-'fluxo caixa fev 2026'!G20</f>
        <v>415145.97</v>
      </c>
      <c r="O20" s="17">
        <f>Controle!J30-G20+65444.12+12131.07</f>
        <v>321758.06020000001</v>
      </c>
      <c r="P20" s="17"/>
      <c r="Q20" s="25">
        <f t="shared" si="2"/>
        <v>455365.72752499999</v>
      </c>
      <c r="R20" s="318"/>
      <c r="S20" s="318"/>
      <c r="T20" s="318"/>
      <c r="U20" s="320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</row>
    <row r="21" spans="1:40" x14ac:dyDescent="0.3">
      <c r="A21" s="216" t="s">
        <v>54</v>
      </c>
      <c r="B21" s="215" t="s">
        <v>61</v>
      </c>
      <c r="C21" s="267">
        <f>185.37+24.22+47.26</f>
        <v>256.85000000000002</v>
      </c>
      <c r="D21" s="267">
        <f>22907.21+4950.97</f>
        <v>27858.18</v>
      </c>
      <c r="E21" s="267">
        <v>0</v>
      </c>
      <c r="F21" s="267">
        <v>0</v>
      </c>
      <c r="G21" s="360">
        <f>C21+D21+E21+F21</f>
        <v>28115.03</v>
      </c>
      <c r="H21" s="362">
        <f>G21*12.5%</f>
        <v>3514.3787499999999</v>
      </c>
      <c r="I21" s="305">
        <v>0.125</v>
      </c>
      <c r="J21" s="21" t="s">
        <v>139</v>
      </c>
      <c r="K21" s="280">
        <f t="shared" si="1"/>
        <v>3514.3787499999999</v>
      </c>
      <c r="L21" s="81"/>
      <c r="M21" s="1"/>
      <c r="N21" s="17">
        <v>0</v>
      </c>
      <c r="O21" s="17">
        <f>'fluxo caixa jan 2026'!O18</f>
        <v>1146481.03</v>
      </c>
      <c r="P21" s="17">
        <f>'fluxo caixa jan 2026'!P21-'fluxo caixa fev 2026'!G21</f>
        <v>66723.430000000022</v>
      </c>
      <c r="Q21" s="25">
        <f t="shared" si="2"/>
        <v>143310.12875</v>
      </c>
      <c r="R21" s="318"/>
      <c r="S21" s="318"/>
      <c r="T21" s="322"/>
      <c r="U21" s="320"/>
      <c r="V21" s="138"/>
      <c r="W21" s="138"/>
      <c r="X21" s="138"/>
      <c r="Y21" s="138"/>
      <c r="Z21" s="138"/>
      <c r="AA21" s="138"/>
      <c r="AB21" s="138"/>
      <c r="AC21" s="138"/>
      <c r="AD21" s="139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</row>
    <row r="22" spans="1:40" x14ac:dyDescent="0.3">
      <c r="A22" s="216" t="s">
        <v>58</v>
      </c>
      <c r="B22" s="215" t="s">
        <v>65</v>
      </c>
      <c r="C22" s="267">
        <f>169.88+20.25+52.44</f>
        <v>242.57</v>
      </c>
      <c r="D22" s="267"/>
      <c r="E22" s="267">
        <v>0</v>
      </c>
      <c r="F22" s="267">
        <v>0</v>
      </c>
      <c r="G22" s="360">
        <f t="shared" ref="G22:G24" si="4">C22+D22+E22+F22</f>
        <v>242.57</v>
      </c>
      <c r="H22" s="362">
        <f>G22*12.5%</f>
        <v>30.321249999999999</v>
      </c>
      <c r="I22" s="305">
        <v>0.125</v>
      </c>
      <c r="J22" s="21" t="s">
        <v>139</v>
      </c>
      <c r="K22" s="280">
        <f t="shared" si="1"/>
        <v>30.321249999999999</v>
      </c>
      <c r="L22" s="81"/>
      <c r="M22" s="1"/>
      <c r="N22" s="17">
        <v>0</v>
      </c>
      <c r="O22" s="17">
        <f>'fluxo caixa jan 2026'!O22-'fluxo caixa fev 2026'!G22</f>
        <v>255057.68000000002</v>
      </c>
      <c r="P22" s="17">
        <v>0</v>
      </c>
      <c r="Q22" s="25">
        <f t="shared" si="2"/>
        <v>31882.210000000003</v>
      </c>
      <c r="R22" s="318"/>
      <c r="S22" s="318"/>
      <c r="T22" s="318"/>
      <c r="U22" s="320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</row>
    <row r="23" spans="1:40" x14ac:dyDescent="0.3">
      <c r="A23" s="216" t="s">
        <v>57</v>
      </c>
      <c r="B23" s="215" t="s">
        <v>64</v>
      </c>
      <c r="C23" s="267">
        <f>196.69+29.65+936.93+110.87</f>
        <v>1274.1399999999999</v>
      </c>
      <c r="D23" s="267">
        <f>10176.22+3275.58</f>
        <v>13451.8</v>
      </c>
      <c r="E23" s="267">
        <v>0</v>
      </c>
      <c r="F23" s="267">
        <v>0</v>
      </c>
      <c r="G23" s="360">
        <f t="shared" si="4"/>
        <v>14725.939999999999</v>
      </c>
      <c r="H23" s="362">
        <f>G23*12.5%</f>
        <v>1840.7424999999998</v>
      </c>
      <c r="I23" s="305">
        <v>0.125</v>
      </c>
      <c r="J23" s="21" t="s">
        <v>139</v>
      </c>
      <c r="K23" s="280">
        <f t="shared" si="1"/>
        <v>1840.7424999999998</v>
      </c>
      <c r="L23" s="81"/>
      <c r="M23" s="1"/>
      <c r="N23" s="17">
        <v>0</v>
      </c>
      <c r="O23" s="17">
        <f>'fluxo caixa jan 2026'!O23-'fluxo caixa fev 2026'!G23</f>
        <v>1131755.0900000001</v>
      </c>
      <c r="P23" s="17">
        <f>'fluxo caixa jan 2026'!P23-'fluxo caixa fev 2026'!G23</f>
        <v>229458.72999999998</v>
      </c>
      <c r="Q23" s="25">
        <f t="shared" si="2"/>
        <v>141469.38625000001</v>
      </c>
      <c r="R23" s="318"/>
      <c r="S23" s="318"/>
      <c r="T23" s="318"/>
      <c r="U23" s="320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</row>
    <row r="24" spans="1:40" x14ac:dyDescent="0.3">
      <c r="A24" s="216" t="s">
        <v>56</v>
      </c>
      <c r="B24" s="215" t="s">
        <v>63</v>
      </c>
      <c r="C24" s="267">
        <f>104.13+1674.66+993.08</f>
        <v>2771.87</v>
      </c>
      <c r="D24" s="267"/>
      <c r="E24" s="267">
        <v>0</v>
      </c>
      <c r="F24" s="267">
        <v>0</v>
      </c>
      <c r="G24" s="360">
        <f t="shared" si="4"/>
        <v>2771.87</v>
      </c>
      <c r="H24" s="362">
        <f>G24*12.5%</f>
        <v>346.48374999999999</v>
      </c>
      <c r="I24" s="305">
        <v>0.125</v>
      </c>
      <c r="J24" s="21" t="s">
        <v>139</v>
      </c>
      <c r="K24" s="280">
        <f t="shared" si="1"/>
        <v>346.48374999999999</v>
      </c>
      <c r="L24" s="81"/>
      <c r="M24" s="1"/>
      <c r="N24" s="17">
        <f>'fluxo caixa jan 2026'!N24-'fluxo caixa fev 2026'!G24</f>
        <v>33186.199999999997</v>
      </c>
      <c r="O24" s="17">
        <v>0</v>
      </c>
      <c r="P24" s="17">
        <f>Controle!K34</f>
        <v>38213.9182</v>
      </c>
      <c r="Q24" s="25">
        <f t="shared" si="2"/>
        <v>33186.199999999997</v>
      </c>
      <c r="R24" s="318"/>
      <c r="S24" s="318"/>
      <c r="T24" s="322"/>
      <c r="U24" s="320"/>
      <c r="V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</row>
    <row r="25" spans="1:40" x14ac:dyDescent="0.3">
      <c r="A25" s="216" t="s">
        <v>152</v>
      </c>
      <c r="B25" s="215" t="s">
        <v>153</v>
      </c>
      <c r="C25" s="267">
        <f>12760.99</f>
        <v>12760.99</v>
      </c>
      <c r="D25" s="267">
        <v>0</v>
      </c>
      <c r="E25" s="267">
        <v>0</v>
      </c>
      <c r="F25" s="267">
        <v>0</v>
      </c>
      <c r="G25" s="360">
        <f t="shared" si="3"/>
        <v>12760.99</v>
      </c>
      <c r="H25" s="362">
        <f>G25*20%</f>
        <v>2552.1980000000003</v>
      </c>
      <c r="I25" s="305">
        <v>0.2</v>
      </c>
      <c r="J25" s="21" t="s">
        <v>139</v>
      </c>
      <c r="K25" s="280">
        <f t="shared" si="1"/>
        <v>2552.1980000000003</v>
      </c>
      <c r="L25" s="81"/>
      <c r="M25" s="1"/>
      <c r="N25" s="17">
        <f>'fluxo caixa jan 2026'!N25-'fluxo caixa fev 2026'!G25</f>
        <v>1024766.64</v>
      </c>
      <c r="O25" s="17">
        <f>Controle!J35</f>
        <v>127712.31</v>
      </c>
      <c r="P25" s="17"/>
      <c r="Q25" s="25">
        <f t="shared" si="2"/>
        <v>1050309.102</v>
      </c>
      <c r="R25" s="318"/>
      <c r="S25" s="318"/>
      <c r="T25" s="318"/>
      <c r="U25" s="320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</row>
    <row r="26" spans="1:40" x14ac:dyDescent="0.3">
      <c r="A26" s="216" t="s">
        <v>157</v>
      </c>
      <c r="B26" s="215" t="s">
        <v>158</v>
      </c>
      <c r="C26" s="267">
        <f>704.68</f>
        <v>704.68</v>
      </c>
      <c r="D26" s="267">
        <v>0</v>
      </c>
      <c r="E26" s="267">
        <v>0</v>
      </c>
      <c r="F26" s="267">
        <v>0</v>
      </c>
      <c r="G26" s="360">
        <f>C26+D26+E26</f>
        <v>704.68</v>
      </c>
      <c r="H26" s="362">
        <f>G26*20%</f>
        <v>140.93600000000001</v>
      </c>
      <c r="I26" s="305">
        <v>0.2</v>
      </c>
      <c r="J26" s="21" t="s">
        <v>139</v>
      </c>
      <c r="K26" s="280">
        <f t="shared" si="1"/>
        <v>140.93600000000001</v>
      </c>
      <c r="L26" s="81"/>
      <c r="M26" s="1"/>
      <c r="N26" s="17">
        <f>'fluxo caixa jan 2026'!N26-'fluxo caixa fev 2026'!G26</f>
        <v>356968.35</v>
      </c>
      <c r="O26" s="17">
        <f>Controle!J36</f>
        <v>206005.26</v>
      </c>
      <c r="P26" s="17"/>
      <c r="Q26" s="25">
        <f t="shared" si="2"/>
        <v>398169.402</v>
      </c>
      <c r="R26" s="318"/>
      <c r="S26" s="318"/>
      <c r="T26" s="318"/>
      <c r="U26" s="320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</row>
    <row r="27" spans="1:40" x14ac:dyDescent="0.3">
      <c r="A27" s="216" t="s">
        <v>154</v>
      </c>
      <c r="B27" s="215" t="s">
        <v>155</v>
      </c>
      <c r="C27" s="267">
        <f>5938.74</f>
        <v>5938.74</v>
      </c>
      <c r="D27" s="267">
        <v>0</v>
      </c>
      <c r="E27" s="267">
        <v>0</v>
      </c>
      <c r="F27" s="267">
        <v>0</v>
      </c>
      <c r="G27" s="360">
        <f t="shared" si="3"/>
        <v>5938.74</v>
      </c>
      <c r="H27" s="362">
        <f>G27*20%</f>
        <v>1187.748</v>
      </c>
      <c r="I27" s="305">
        <v>0.2</v>
      </c>
      <c r="J27" s="21" t="s">
        <v>139</v>
      </c>
      <c r="K27" s="280">
        <f t="shared" si="1"/>
        <v>1187.748</v>
      </c>
      <c r="L27" s="81"/>
      <c r="M27" s="1"/>
      <c r="N27" s="17">
        <f>'fluxo caixa jan 2026'!N27-'fluxo caixa fev 2026'!G27</f>
        <v>665588.44999999995</v>
      </c>
      <c r="O27" s="17">
        <f>Controle!J37</f>
        <v>61872.72</v>
      </c>
      <c r="P27" s="17"/>
      <c r="Q27" s="25">
        <f t="shared" si="2"/>
        <v>677962.99399999995</v>
      </c>
      <c r="R27" s="318"/>
      <c r="S27" s="318"/>
      <c r="T27" s="318"/>
      <c r="U27" s="320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</row>
    <row r="28" spans="1:40" x14ac:dyDescent="0.3">
      <c r="A28" s="216" t="s">
        <v>236</v>
      </c>
      <c r="B28" s="215" t="s">
        <v>237</v>
      </c>
      <c r="C28" s="267">
        <f>8441.59+63.43</f>
        <v>8505.02</v>
      </c>
      <c r="D28" s="267">
        <f>352.74+1689.22</f>
        <v>2041.96</v>
      </c>
      <c r="E28" s="267">
        <v>0</v>
      </c>
      <c r="F28" s="267">
        <v>0</v>
      </c>
      <c r="G28" s="360">
        <f>C28+D28+E28+F28</f>
        <v>10546.98</v>
      </c>
      <c r="H28" s="362">
        <f>G28*20%</f>
        <v>2109.3960000000002</v>
      </c>
      <c r="I28" s="305">
        <v>0.2</v>
      </c>
      <c r="J28" s="156" t="s">
        <v>139</v>
      </c>
      <c r="K28" s="280">
        <f t="shared" ref="K28" si="5">H28</f>
        <v>2109.3960000000002</v>
      </c>
      <c r="L28" s="81"/>
      <c r="M28" s="81"/>
      <c r="N28" s="17">
        <f>'fluxo caixa jan 2026'!N28-'fluxo caixa fev 2026'!G28</f>
        <v>153004.12</v>
      </c>
      <c r="O28" s="17"/>
      <c r="P28" s="17"/>
      <c r="Q28" s="25">
        <f t="shared" si="2"/>
        <v>153004.12</v>
      </c>
      <c r="R28" s="321"/>
      <c r="S28" s="322"/>
      <c r="T28" s="322"/>
      <c r="U28" s="323"/>
    </row>
    <row r="29" spans="1:40" x14ac:dyDescent="0.3">
      <c r="A29" s="216" t="s">
        <v>238</v>
      </c>
      <c r="B29" s="215" t="s">
        <v>239</v>
      </c>
      <c r="C29" s="267">
        <f>1328.83+5346.19+63.43</f>
        <v>6738.45</v>
      </c>
      <c r="D29" s="267">
        <f>962.76+209.02</f>
        <v>1171.78</v>
      </c>
      <c r="E29" s="267">
        <v>0</v>
      </c>
      <c r="F29" s="267">
        <v>0</v>
      </c>
      <c r="G29" s="360">
        <f>C29+D29+E29+F29</f>
        <v>7910.23</v>
      </c>
      <c r="H29" s="364">
        <f>G29*20%</f>
        <v>1582.046</v>
      </c>
      <c r="I29" s="305">
        <v>0.2</v>
      </c>
      <c r="J29" s="156" t="s">
        <v>139</v>
      </c>
      <c r="K29" s="280">
        <f t="shared" ref="K29" si="6">H29</f>
        <v>1582.046</v>
      </c>
      <c r="L29" s="127"/>
      <c r="M29" s="127"/>
      <c r="N29" s="163">
        <f>'fluxo caixa jan 2026'!N29-'fluxo caixa fev 2026'!G29</f>
        <v>93156.39</v>
      </c>
      <c r="O29" s="163"/>
      <c r="P29" s="163"/>
      <c r="Q29" s="25">
        <f t="shared" si="2"/>
        <v>93156.39</v>
      </c>
      <c r="R29" s="321">
        <v>4.1937811202266097E+20</v>
      </c>
      <c r="S29" s="321">
        <v>2.48941143200226E+22</v>
      </c>
      <c r="T29" s="322">
        <v>4.15245075250226E+22</v>
      </c>
      <c r="U29" s="323"/>
    </row>
    <row r="30" spans="1:40" x14ac:dyDescent="0.3">
      <c r="A30" s="216" t="s">
        <v>248</v>
      </c>
      <c r="B30" s="215" t="s">
        <v>251</v>
      </c>
      <c r="C30" s="267">
        <v>0</v>
      </c>
      <c r="D30" s="267"/>
      <c r="E30" s="267">
        <v>0</v>
      </c>
      <c r="F30" s="267">
        <v>0</v>
      </c>
      <c r="G30" s="360">
        <f t="shared" ref="G30:G32" si="7">C30+D30+E30+F30</f>
        <v>0</v>
      </c>
      <c r="H30" s="364">
        <f>G30*20%</f>
        <v>0</v>
      </c>
      <c r="I30" s="306">
        <v>0</v>
      </c>
      <c r="J30" s="156" t="s">
        <v>139</v>
      </c>
      <c r="K30" s="280">
        <f t="shared" si="1"/>
        <v>0</v>
      </c>
      <c r="L30" s="81"/>
      <c r="M30" s="81"/>
      <c r="N30" s="17"/>
      <c r="O30" s="17"/>
      <c r="P30" s="17"/>
      <c r="Q30" s="25">
        <f t="shared" si="2"/>
        <v>0</v>
      </c>
      <c r="R30" s="321"/>
      <c r="S30" s="321"/>
      <c r="T30" s="322"/>
      <c r="U30" s="323"/>
    </row>
    <row r="31" spans="1:40" x14ac:dyDescent="0.3">
      <c r="A31" s="216" t="s">
        <v>249</v>
      </c>
      <c r="B31" s="215" t="s">
        <v>250</v>
      </c>
      <c r="C31" s="267">
        <v>0</v>
      </c>
      <c r="D31" s="267"/>
      <c r="E31" s="267">
        <v>0</v>
      </c>
      <c r="F31" s="267">
        <v>0</v>
      </c>
      <c r="G31" s="360">
        <f t="shared" si="7"/>
        <v>0</v>
      </c>
      <c r="H31" s="364">
        <f>G31*20%</f>
        <v>0</v>
      </c>
      <c r="I31" s="306">
        <v>0</v>
      </c>
      <c r="J31" s="156" t="s">
        <v>139</v>
      </c>
      <c r="K31" s="280">
        <f t="shared" si="1"/>
        <v>0</v>
      </c>
      <c r="L31" s="81"/>
      <c r="M31" s="81"/>
      <c r="N31" s="17"/>
      <c r="O31" s="17"/>
      <c r="P31" s="17"/>
      <c r="Q31" s="25">
        <f t="shared" si="2"/>
        <v>0</v>
      </c>
      <c r="R31" s="321"/>
      <c r="S31" s="321"/>
      <c r="T31" s="322"/>
      <c r="U31" s="323"/>
    </row>
    <row r="32" spans="1:40" x14ac:dyDescent="0.3">
      <c r="A32" s="216" t="s">
        <v>253</v>
      </c>
      <c r="B32" s="219" t="s">
        <v>259</v>
      </c>
      <c r="C32" s="267">
        <v>0</v>
      </c>
      <c r="D32" s="267">
        <f>15533.03+3372.24</f>
        <v>18905.27</v>
      </c>
      <c r="E32" s="267">
        <v>0</v>
      </c>
      <c r="F32" s="267">
        <v>0</v>
      </c>
      <c r="G32" s="360">
        <f t="shared" si="7"/>
        <v>18905.27</v>
      </c>
      <c r="H32" s="364">
        <f>G32*20%</f>
        <v>3781.0540000000001</v>
      </c>
      <c r="I32" s="306">
        <v>0</v>
      </c>
      <c r="J32" s="156" t="s">
        <v>139</v>
      </c>
      <c r="K32" s="280"/>
      <c r="L32" s="81"/>
      <c r="M32" s="1"/>
      <c r="N32" s="17">
        <f>Controle!I43-'fluxo caixa fev 2026'!G32</f>
        <v>181345.33000000002</v>
      </c>
      <c r="O32" s="17"/>
      <c r="P32" s="17"/>
      <c r="Q32" s="25">
        <f t="shared" si="2"/>
        <v>181345.33000000002</v>
      </c>
      <c r="R32" s="321"/>
      <c r="S32" s="321"/>
      <c r="T32" s="322"/>
      <c r="U32" s="323"/>
    </row>
    <row r="33" spans="1:40" s="110" customFormat="1" x14ac:dyDescent="0.3">
      <c r="A33" s="216" t="s">
        <v>255</v>
      </c>
      <c r="B33" s="219" t="s">
        <v>263</v>
      </c>
      <c r="C33" s="267">
        <v>0</v>
      </c>
      <c r="D33" s="267">
        <v>0</v>
      </c>
      <c r="E33" s="267">
        <v>0</v>
      </c>
      <c r="F33" s="267">
        <v>0</v>
      </c>
      <c r="G33" s="362">
        <v>0</v>
      </c>
      <c r="H33" s="362">
        <v>0</v>
      </c>
      <c r="I33" s="306">
        <v>0</v>
      </c>
      <c r="J33" s="156" t="s">
        <v>139</v>
      </c>
      <c r="K33" s="281">
        <f>SUM(K4:K29)</f>
        <v>223950.99549999999</v>
      </c>
      <c r="L33" s="30"/>
      <c r="M33" s="281"/>
      <c r="N33" s="112">
        <f>SUM(N4:N27)</f>
        <v>6969304.9499999983</v>
      </c>
      <c r="O33" s="112">
        <f>SUM(O4:O27)</f>
        <v>6236572.9601999987</v>
      </c>
      <c r="P33" s="112">
        <f>SUM(P4:P27)</f>
        <v>646605.93939999992</v>
      </c>
      <c r="Q33" s="112">
        <f>SUM(Q4:Q32)</f>
        <v>8319321.8000249993</v>
      </c>
      <c r="R33" s="325"/>
      <c r="S33" s="325"/>
      <c r="T33" s="325"/>
      <c r="U33" s="325"/>
      <c r="V33" s="113"/>
      <c r="W33" s="113"/>
      <c r="X33" s="113"/>
      <c r="Y33" s="113"/>
      <c r="Z33" s="113"/>
      <c r="AA33" s="113"/>
      <c r="AB33" s="113"/>
      <c r="AC33" s="113"/>
      <c r="AD33" s="113"/>
    </row>
    <row r="34" spans="1:40" x14ac:dyDescent="0.3">
      <c r="A34" s="214" t="s">
        <v>272</v>
      </c>
      <c r="B34" s="219" t="s">
        <v>274</v>
      </c>
      <c r="C34" s="267">
        <v>0</v>
      </c>
      <c r="D34" s="267">
        <v>0</v>
      </c>
      <c r="E34" s="267">
        <v>0</v>
      </c>
      <c r="F34" s="267">
        <v>0</v>
      </c>
      <c r="G34" s="362">
        <v>0</v>
      </c>
      <c r="H34" s="362">
        <v>0</v>
      </c>
      <c r="I34" s="306">
        <v>0</v>
      </c>
      <c r="J34" s="156" t="s">
        <v>139</v>
      </c>
      <c r="K34" s="282">
        <f>K33*20%</f>
        <v>44790.199099999998</v>
      </c>
      <c r="L34" s="30"/>
      <c r="M34" s="273"/>
      <c r="N34" s="9"/>
      <c r="O34" s="1"/>
      <c r="P34" s="1"/>
      <c r="Q34" s="1"/>
      <c r="R34" s="323"/>
      <c r="S34" s="323"/>
      <c r="T34" s="323"/>
      <c r="U34" s="323"/>
    </row>
    <row r="35" spans="1:40" x14ac:dyDescent="0.3">
      <c r="A35" s="220" t="s">
        <v>260</v>
      </c>
      <c r="B35" s="219" t="s">
        <v>261</v>
      </c>
      <c r="C35" s="267">
        <v>0</v>
      </c>
      <c r="D35" s="267">
        <v>0</v>
      </c>
      <c r="E35" s="267">
        <v>0</v>
      </c>
      <c r="F35" s="267">
        <v>0</v>
      </c>
      <c r="G35" s="362">
        <v>0</v>
      </c>
      <c r="H35" s="362">
        <v>0</v>
      </c>
      <c r="I35" s="306">
        <v>0</v>
      </c>
      <c r="J35" s="156" t="s">
        <v>139</v>
      </c>
      <c r="K35" s="273">
        <f>K33-K34</f>
        <v>179160.79639999999</v>
      </c>
      <c r="L35" s="273"/>
      <c r="M35" s="1"/>
      <c r="N35" s="279"/>
      <c r="O35" s="1"/>
      <c r="P35" s="1"/>
      <c r="Q35" s="1"/>
      <c r="R35" s="323"/>
      <c r="S35" s="323"/>
      <c r="T35" s="323"/>
      <c r="U35" s="323"/>
    </row>
    <row r="36" spans="1:40" s="96" customFormat="1" x14ac:dyDescent="0.3">
      <c r="A36" s="221" t="s">
        <v>273</v>
      </c>
      <c r="B36" s="219" t="s">
        <v>277</v>
      </c>
      <c r="C36" s="267">
        <v>0</v>
      </c>
      <c r="D36" s="267">
        <v>0</v>
      </c>
      <c r="E36" s="267">
        <v>0</v>
      </c>
      <c r="F36" s="267">
        <v>0</v>
      </c>
      <c r="G36" s="362">
        <v>0</v>
      </c>
      <c r="H36" s="362">
        <v>0</v>
      </c>
      <c r="I36" s="306">
        <v>0</v>
      </c>
      <c r="J36" s="156" t="s">
        <v>139</v>
      </c>
      <c r="K36" s="273"/>
      <c r="L36" s="273"/>
      <c r="M36" s="279"/>
      <c r="N36" s="279"/>
      <c r="O36" s="1"/>
      <c r="P36" s="1"/>
      <c r="Q36" s="1"/>
      <c r="R36" s="323"/>
      <c r="S36" s="323"/>
      <c r="T36" s="323"/>
      <c r="U36" s="323"/>
      <c r="AE36"/>
      <c r="AF36"/>
      <c r="AG36"/>
      <c r="AH36"/>
      <c r="AI36"/>
      <c r="AJ36"/>
      <c r="AK36"/>
      <c r="AL36"/>
      <c r="AM36"/>
      <c r="AN36"/>
    </row>
    <row r="37" spans="1:40" s="96" customFormat="1" x14ac:dyDescent="0.3">
      <c r="A37" s="221" t="s">
        <v>283</v>
      </c>
      <c r="B37" s="219" t="s">
        <v>284</v>
      </c>
      <c r="C37" s="267">
        <v>0</v>
      </c>
      <c r="D37" s="267">
        <v>0</v>
      </c>
      <c r="E37" s="267">
        <v>0</v>
      </c>
      <c r="F37" s="267">
        <v>0</v>
      </c>
      <c r="G37" s="362">
        <v>0</v>
      </c>
      <c r="H37" s="362">
        <v>0</v>
      </c>
      <c r="I37" s="306">
        <v>0</v>
      </c>
      <c r="J37" s="156" t="s">
        <v>139</v>
      </c>
      <c r="K37" s="273"/>
      <c r="L37" s="273"/>
      <c r="M37" s="273"/>
      <c r="N37" s="279"/>
      <c r="O37" s="273"/>
      <c r="P37" s="1"/>
      <c r="Q37" s="1"/>
      <c r="R37" s="323"/>
      <c r="S37" s="323"/>
      <c r="T37" s="323"/>
      <c r="U37" s="323"/>
      <c r="AE37"/>
      <c r="AF37"/>
      <c r="AG37"/>
      <c r="AH37"/>
      <c r="AI37"/>
      <c r="AJ37"/>
      <c r="AK37"/>
      <c r="AL37"/>
      <c r="AM37"/>
      <c r="AN37"/>
    </row>
    <row r="38" spans="1:40" s="96" customFormat="1" x14ac:dyDescent="0.3">
      <c r="A38" s="220" t="s">
        <v>270</v>
      </c>
      <c r="B38" s="219" t="s">
        <v>275</v>
      </c>
      <c r="C38" s="267">
        <v>0</v>
      </c>
      <c r="D38" s="267">
        <v>0</v>
      </c>
      <c r="E38" s="267">
        <v>0</v>
      </c>
      <c r="F38" s="267">
        <v>0</v>
      </c>
      <c r="G38" s="362">
        <v>0</v>
      </c>
      <c r="H38" s="362">
        <v>0</v>
      </c>
      <c r="I38" s="306">
        <v>0</v>
      </c>
      <c r="J38" s="156" t="s">
        <v>139</v>
      </c>
      <c r="K38" s="273"/>
      <c r="L38" s="273"/>
      <c r="M38" s="273"/>
      <c r="N38" s="279"/>
      <c r="O38" s="273"/>
      <c r="P38" s="1"/>
      <c r="Q38" s="1"/>
      <c r="R38" s="323"/>
      <c r="S38" s="323"/>
      <c r="T38" s="323"/>
      <c r="U38" s="323"/>
      <c r="AE38"/>
      <c r="AF38"/>
      <c r="AG38"/>
      <c r="AH38"/>
      <c r="AI38"/>
      <c r="AJ38"/>
      <c r="AK38"/>
      <c r="AL38"/>
      <c r="AM38"/>
      <c r="AN38"/>
    </row>
    <row r="39" spans="1:40" s="96" customFormat="1" x14ac:dyDescent="0.3">
      <c r="A39" s="330" t="s">
        <v>271</v>
      </c>
      <c r="B39" s="331" t="s">
        <v>276</v>
      </c>
      <c r="C39" s="332">
        <v>0</v>
      </c>
      <c r="D39" s="332">
        <v>0</v>
      </c>
      <c r="E39" s="332">
        <v>0</v>
      </c>
      <c r="F39" s="332">
        <v>0</v>
      </c>
      <c r="G39" s="364">
        <v>0</v>
      </c>
      <c r="H39" s="364">
        <v>0</v>
      </c>
      <c r="I39" s="329">
        <v>0</v>
      </c>
      <c r="J39" s="156" t="s">
        <v>139</v>
      </c>
      <c r="K39" s="56"/>
      <c r="L39" s="1"/>
      <c r="M39" s="279"/>
      <c r="N39" s="1"/>
      <c r="O39" s="273"/>
      <c r="P39" s="1"/>
      <c r="Q39" s="1"/>
      <c r="R39" s="323"/>
      <c r="S39" s="323"/>
      <c r="T39" s="323"/>
      <c r="U39" s="323"/>
      <c r="AE39"/>
      <c r="AF39"/>
      <c r="AG39"/>
      <c r="AH39"/>
      <c r="AI39"/>
      <c r="AJ39"/>
      <c r="AK39"/>
      <c r="AL39"/>
      <c r="AM39"/>
      <c r="AN39"/>
    </row>
    <row r="40" spans="1:40" s="96" customFormat="1" x14ac:dyDescent="0.3">
      <c r="A40" s="333" t="s">
        <v>35</v>
      </c>
      <c r="B40" s="333"/>
      <c r="C40" s="334">
        <f>SUM(C4:C39)</f>
        <v>1170638.5399999998</v>
      </c>
      <c r="D40" s="334">
        <f t="shared" ref="D40:H40" si="8">SUM(D4:D39)</f>
        <v>416083.92000000004</v>
      </c>
      <c r="E40" s="334">
        <f t="shared" si="8"/>
        <v>0</v>
      </c>
      <c r="F40" s="334">
        <f t="shared" si="8"/>
        <v>0</v>
      </c>
      <c r="G40" s="365">
        <f t="shared" si="8"/>
        <v>1586722.46</v>
      </c>
      <c r="H40" s="365">
        <f t="shared" si="8"/>
        <v>227732.04949999999</v>
      </c>
      <c r="I40" s="314"/>
      <c r="J40" s="335"/>
      <c r="K40" s="273"/>
      <c r="L40" s="1"/>
      <c r="M40" s="1"/>
      <c r="N40" s="273"/>
      <c r="O40" s="1"/>
      <c r="P40" s="1"/>
      <c r="Q40" s="1"/>
      <c r="R40" s="323"/>
      <c r="S40" s="323"/>
      <c r="T40" s="323"/>
      <c r="U40" s="323"/>
      <c r="AE40"/>
      <c r="AF40"/>
      <c r="AG40"/>
      <c r="AH40"/>
      <c r="AI40"/>
      <c r="AJ40"/>
      <c r="AK40"/>
      <c r="AL40"/>
      <c r="AM40"/>
      <c r="AN40"/>
    </row>
    <row r="41" spans="1:40" s="96" customFormat="1" x14ac:dyDescent="0.3">
      <c r="A41"/>
      <c r="B41" s="1"/>
      <c r="C41" s="1"/>
      <c r="D41" s="1"/>
      <c r="E41" s="1"/>
      <c r="F41" s="1"/>
      <c r="G41" s="326"/>
      <c r="H41" s="3"/>
      <c r="I41" s="307"/>
      <c r="J41" s="284"/>
      <c r="K41" s="273"/>
      <c r="L41" s="1"/>
      <c r="M41" s="1"/>
      <c r="N41" s="9"/>
      <c r="O41" s="1"/>
      <c r="P41" s="1"/>
      <c r="Q41" s="1"/>
      <c r="R41" s="323"/>
      <c r="S41" s="323"/>
      <c r="T41" s="323"/>
      <c r="U41" s="323"/>
      <c r="AE41"/>
      <c r="AF41"/>
      <c r="AG41"/>
      <c r="AH41"/>
      <c r="AI41"/>
      <c r="AJ41"/>
      <c r="AK41"/>
      <c r="AL41"/>
      <c r="AM41"/>
      <c r="AN41"/>
    </row>
    <row r="42" spans="1:40" s="96" customFormat="1" x14ac:dyDescent="0.3">
      <c r="A42"/>
      <c r="B42" s="1"/>
      <c r="C42" s="1"/>
      <c r="D42" s="1"/>
      <c r="E42" s="1"/>
      <c r="F42" s="1"/>
      <c r="G42" s="326"/>
      <c r="H42" s="1"/>
      <c r="I42" s="307"/>
      <c r="J42" s="1"/>
      <c r="K42" s="279"/>
      <c r="L42" s="1"/>
      <c r="M42" s="1"/>
      <c r="N42" s="9"/>
      <c r="O42" s="1"/>
      <c r="P42" s="1"/>
      <c r="Q42" s="1"/>
      <c r="R42" s="323"/>
      <c r="S42" s="323"/>
      <c r="T42" s="323"/>
      <c r="U42" s="323"/>
      <c r="AE42"/>
      <c r="AF42"/>
      <c r="AG42"/>
      <c r="AH42"/>
      <c r="AI42"/>
      <c r="AJ42"/>
      <c r="AK42"/>
      <c r="AL42"/>
      <c r="AM42"/>
      <c r="AN42"/>
    </row>
    <row r="43" spans="1:40" s="96" customFormat="1" x14ac:dyDescent="0.3">
      <c r="A43"/>
      <c r="B43" s="1"/>
      <c r="C43" s="1"/>
      <c r="D43" s="1"/>
      <c r="E43" s="1"/>
      <c r="F43" s="1"/>
      <c r="G43" s="326"/>
      <c r="H43" s="1"/>
      <c r="I43" s="307"/>
      <c r="J43" s="1"/>
      <c r="K43" s="1"/>
      <c r="L43" s="1"/>
      <c r="M43" s="1"/>
      <c r="N43" s="9"/>
      <c r="O43" s="1"/>
      <c r="P43" s="1"/>
      <c r="Q43" s="1"/>
      <c r="R43" s="323"/>
      <c r="S43" s="323"/>
      <c r="T43" s="323"/>
      <c r="U43" s="323"/>
      <c r="AE43"/>
      <c r="AF43"/>
      <c r="AG43"/>
      <c r="AH43"/>
      <c r="AI43"/>
      <c r="AJ43"/>
      <c r="AK43"/>
      <c r="AL43"/>
      <c r="AM43"/>
      <c r="AN43"/>
    </row>
    <row r="44" spans="1:40" s="96" customFormat="1" x14ac:dyDescent="0.3">
      <c r="A44"/>
      <c r="B44" s="1"/>
      <c r="C44" s="1"/>
      <c r="D44" s="1"/>
      <c r="E44" s="1"/>
      <c r="F44" s="1"/>
      <c r="G44" s="326"/>
      <c r="H44" s="1"/>
      <c r="I44" s="307"/>
      <c r="J44" s="1"/>
      <c r="K44" s="1"/>
      <c r="L44" s="1"/>
      <c r="M44" s="1"/>
      <c r="N44" s="9"/>
      <c r="O44" s="1"/>
      <c r="P44" s="1"/>
      <c r="Q44" s="1"/>
      <c r="R44" s="323"/>
      <c r="S44" s="323"/>
      <c r="T44" s="323"/>
      <c r="U44" s="323"/>
      <c r="AE44"/>
      <c r="AF44"/>
      <c r="AG44"/>
      <c r="AH44"/>
      <c r="AI44"/>
      <c r="AJ44"/>
      <c r="AK44"/>
      <c r="AL44"/>
      <c r="AM44"/>
      <c r="AN44"/>
    </row>
    <row r="45" spans="1:40" s="96" customFormat="1" x14ac:dyDescent="0.3">
      <c r="A45"/>
      <c r="B45" s="1"/>
      <c r="C45" s="1"/>
      <c r="D45" s="1"/>
      <c r="E45" s="1"/>
      <c r="F45" s="1"/>
      <c r="G45" s="326"/>
      <c r="H45" s="1"/>
      <c r="I45" s="307"/>
      <c r="J45" s="1"/>
      <c r="K45" s="1"/>
      <c r="L45" s="1"/>
      <c r="M45" s="1"/>
      <c r="N45" s="9"/>
      <c r="O45" s="1"/>
      <c r="P45" s="1"/>
      <c r="Q45" s="1"/>
      <c r="R45" s="323"/>
      <c r="S45" s="323"/>
      <c r="T45" s="323"/>
      <c r="U45" s="323"/>
      <c r="AE45"/>
      <c r="AF45"/>
      <c r="AG45"/>
      <c r="AH45"/>
      <c r="AI45"/>
      <c r="AJ45"/>
      <c r="AK45"/>
      <c r="AL45"/>
      <c r="AM45"/>
      <c r="AN45"/>
    </row>
    <row r="46" spans="1:40" s="96" customFormat="1" x14ac:dyDescent="0.3">
      <c r="A46"/>
      <c r="B46"/>
      <c r="C46"/>
      <c r="D46"/>
      <c r="E46"/>
      <c r="F46"/>
      <c r="G46" s="253"/>
      <c r="H46"/>
      <c r="I46" s="308"/>
      <c r="J46"/>
      <c r="K46"/>
      <c r="L46"/>
      <c r="M46"/>
      <c r="N46" s="9"/>
      <c r="O46"/>
      <c r="P46"/>
      <c r="Q46"/>
      <c r="AE46"/>
      <c r="AF46"/>
      <c r="AG46"/>
      <c r="AH46"/>
      <c r="AI46"/>
      <c r="AJ46"/>
      <c r="AK46"/>
      <c r="AL46"/>
      <c r="AM46"/>
      <c r="AN46"/>
    </row>
    <row r="47" spans="1:40" s="96" customFormat="1" x14ac:dyDescent="0.3">
      <c r="A47"/>
      <c r="B47"/>
      <c r="C47"/>
      <c r="D47"/>
      <c r="E47" t="s">
        <v>252</v>
      </c>
      <c r="F47"/>
      <c r="G47" s="253"/>
      <c r="H47"/>
      <c r="I47" s="308"/>
      <c r="J47"/>
      <c r="K47"/>
      <c r="L47"/>
      <c r="M47"/>
      <c r="N47" s="9"/>
      <c r="O47"/>
      <c r="P47"/>
      <c r="Q47"/>
      <c r="AE47"/>
      <c r="AF47"/>
      <c r="AG47"/>
      <c r="AH47"/>
      <c r="AI47"/>
      <c r="AJ47"/>
      <c r="AK47"/>
      <c r="AL47"/>
      <c r="AM47"/>
      <c r="AN47"/>
    </row>
    <row r="48" spans="1:40" s="96" customFormat="1" x14ac:dyDescent="0.3">
      <c r="A48"/>
      <c r="B48"/>
      <c r="C48"/>
      <c r="D48"/>
      <c r="E48"/>
      <c r="F48"/>
      <c r="G48" s="253"/>
      <c r="H48"/>
      <c r="I48" s="308"/>
      <c r="J48"/>
      <c r="K48"/>
      <c r="L48"/>
      <c r="M48"/>
      <c r="N48" s="9"/>
      <c r="O48"/>
      <c r="P48"/>
      <c r="Q48"/>
      <c r="AE48"/>
      <c r="AF48"/>
      <c r="AG48"/>
      <c r="AH48"/>
      <c r="AI48"/>
      <c r="AJ48"/>
      <c r="AK48"/>
      <c r="AL48"/>
      <c r="AM48"/>
      <c r="AN48"/>
    </row>
    <row r="49" spans="1:40" s="96" customFormat="1" x14ac:dyDescent="0.3">
      <c r="A49"/>
      <c r="B49"/>
      <c r="C49"/>
      <c r="D49"/>
      <c r="E49"/>
      <c r="F49"/>
      <c r="G49" s="253"/>
      <c r="H49"/>
      <c r="I49" s="308"/>
      <c r="J49"/>
      <c r="K49"/>
      <c r="L49"/>
      <c r="M49"/>
      <c r="N49" s="9"/>
      <c r="O49"/>
      <c r="P49"/>
      <c r="Q49"/>
      <c r="AE49"/>
      <c r="AF49"/>
      <c r="AG49"/>
      <c r="AH49"/>
      <c r="AI49"/>
      <c r="AJ49"/>
      <c r="AK49"/>
      <c r="AL49"/>
      <c r="AM49"/>
      <c r="AN49"/>
    </row>
    <row r="50" spans="1:40" s="96" customFormat="1" x14ac:dyDescent="0.3">
      <c r="A50"/>
      <c r="B50"/>
      <c r="C50"/>
      <c r="D50"/>
      <c r="E50"/>
      <c r="F50"/>
      <c r="G50" s="253"/>
      <c r="H50"/>
      <c r="I50" s="308"/>
      <c r="J50"/>
      <c r="K50"/>
      <c r="L50"/>
      <c r="M50"/>
      <c r="N50" s="9"/>
      <c r="O50"/>
      <c r="P50"/>
      <c r="Q50"/>
      <c r="AE50"/>
      <c r="AF50"/>
      <c r="AG50"/>
      <c r="AH50"/>
      <c r="AI50"/>
      <c r="AJ50"/>
      <c r="AK50"/>
      <c r="AL50"/>
      <c r="AM50"/>
      <c r="AN50"/>
    </row>
    <row r="51" spans="1:40" s="96" customFormat="1" x14ac:dyDescent="0.3">
      <c r="A51"/>
      <c r="B51"/>
      <c r="C51"/>
      <c r="D51"/>
      <c r="E51"/>
      <c r="F51"/>
      <c r="G51" s="253"/>
      <c r="H51"/>
      <c r="I51" s="308"/>
      <c r="J51"/>
      <c r="K51"/>
      <c r="L51"/>
      <c r="M51"/>
      <c r="N51" s="9"/>
      <c r="O51"/>
      <c r="P51"/>
      <c r="Q51"/>
      <c r="AE51"/>
      <c r="AF51"/>
      <c r="AG51"/>
      <c r="AH51"/>
      <c r="AI51"/>
      <c r="AJ51"/>
      <c r="AK51"/>
      <c r="AL51"/>
      <c r="AM51"/>
      <c r="AN51"/>
    </row>
    <row r="52" spans="1:40" x14ac:dyDescent="0.3">
      <c r="N52" s="9"/>
    </row>
    <row r="53" spans="1:40" x14ac:dyDescent="0.3">
      <c r="N53" s="9"/>
    </row>
    <row r="54" spans="1:40" x14ac:dyDescent="0.3">
      <c r="N54" s="9"/>
    </row>
    <row r="55" spans="1:40" x14ac:dyDescent="0.3">
      <c r="N55" s="9"/>
    </row>
    <row r="56" spans="1:40" x14ac:dyDescent="0.3">
      <c r="N56" s="9"/>
    </row>
    <row r="57" spans="1:40" x14ac:dyDescent="0.3">
      <c r="N57" s="9"/>
    </row>
    <row r="58" spans="1:40" x14ac:dyDescent="0.3">
      <c r="N58" s="9"/>
    </row>
    <row r="59" spans="1:40" x14ac:dyDescent="0.3">
      <c r="N59" s="9"/>
    </row>
    <row r="60" spans="1:40" x14ac:dyDescent="0.3">
      <c r="N60" s="9"/>
    </row>
    <row r="61" spans="1:40" x14ac:dyDescent="0.3">
      <c r="N61" s="9"/>
    </row>
    <row r="62" spans="1:40" x14ac:dyDescent="0.3">
      <c r="N62" s="9"/>
    </row>
    <row r="63" spans="1:40" x14ac:dyDescent="0.3">
      <c r="N63" s="9"/>
    </row>
    <row r="64" spans="1:40" x14ac:dyDescent="0.3">
      <c r="N64" s="9"/>
    </row>
    <row r="65" spans="14:14" x14ac:dyDescent="0.3">
      <c r="N65" s="9"/>
    </row>
    <row r="66" spans="14:14" x14ac:dyDescent="0.3">
      <c r="N66" s="9"/>
    </row>
    <row r="67" spans="14:14" x14ac:dyDescent="0.3">
      <c r="N67" s="9"/>
    </row>
    <row r="68" spans="14:14" x14ac:dyDescent="0.3">
      <c r="N68" s="9"/>
    </row>
    <row r="69" spans="14:14" x14ac:dyDescent="0.3">
      <c r="N69" s="9"/>
    </row>
    <row r="70" spans="14:14" x14ac:dyDescent="0.3">
      <c r="N70" s="9"/>
    </row>
    <row r="71" spans="14:14" x14ac:dyDescent="0.3">
      <c r="N71" s="9"/>
    </row>
    <row r="72" spans="14:14" x14ac:dyDescent="0.3">
      <c r="N72" s="9"/>
    </row>
    <row r="73" spans="14:14" x14ac:dyDescent="0.3">
      <c r="N73" s="9"/>
    </row>
    <row r="74" spans="14:14" x14ac:dyDescent="0.3">
      <c r="N74" s="9"/>
    </row>
    <row r="75" spans="14:14" x14ac:dyDescent="0.3">
      <c r="N75" s="9"/>
    </row>
    <row r="76" spans="14:14" x14ac:dyDescent="0.3">
      <c r="N76" s="9"/>
    </row>
    <row r="77" spans="14:14" x14ac:dyDescent="0.3">
      <c r="N77" s="9"/>
    </row>
    <row r="78" spans="14:14" x14ac:dyDescent="0.3">
      <c r="N78" s="9"/>
    </row>
    <row r="79" spans="14:14" x14ac:dyDescent="0.3">
      <c r="N79" s="9"/>
    </row>
    <row r="80" spans="14:14" x14ac:dyDescent="0.3">
      <c r="N80" s="9"/>
    </row>
    <row r="81" spans="14:14" x14ac:dyDescent="0.3">
      <c r="N81" s="9"/>
    </row>
    <row r="82" spans="14:14" x14ac:dyDescent="0.3">
      <c r="N82" s="9"/>
    </row>
    <row r="83" spans="14:14" x14ac:dyDescent="0.3">
      <c r="N83" s="9"/>
    </row>
    <row r="84" spans="14:14" x14ac:dyDescent="0.3">
      <c r="N84" s="9"/>
    </row>
    <row r="85" spans="14:14" x14ac:dyDescent="0.3">
      <c r="N85" s="9"/>
    </row>
    <row r="86" spans="14:14" x14ac:dyDescent="0.3">
      <c r="N86" s="9"/>
    </row>
    <row r="87" spans="14:14" x14ac:dyDescent="0.3">
      <c r="N87" s="9"/>
    </row>
    <row r="88" spans="14:14" x14ac:dyDescent="0.3">
      <c r="N88" s="9"/>
    </row>
    <row r="89" spans="14:14" x14ac:dyDescent="0.3">
      <c r="N89" s="9"/>
    </row>
    <row r="90" spans="14:14" x14ac:dyDescent="0.3">
      <c r="N90" s="9"/>
    </row>
    <row r="91" spans="14:14" x14ac:dyDescent="0.3">
      <c r="N91" s="9"/>
    </row>
    <row r="92" spans="14:14" x14ac:dyDescent="0.3">
      <c r="N92" s="9"/>
    </row>
    <row r="93" spans="14:14" x14ac:dyDescent="0.3">
      <c r="N93" s="9"/>
    </row>
    <row r="94" spans="14:14" x14ac:dyDescent="0.3">
      <c r="N94" s="9"/>
    </row>
    <row r="95" spans="14:14" x14ac:dyDescent="0.3">
      <c r="N95" s="9"/>
    </row>
    <row r="96" spans="14:14" x14ac:dyDescent="0.3">
      <c r="N96" s="9"/>
    </row>
    <row r="97" spans="14:14" x14ac:dyDescent="0.3">
      <c r="N97" s="9"/>
    </row>
    <row r="98" spans="14:14" x14ac:dyDescent="0.3">
      <c r="N98" s="9"/>
    </row>
    <row r="99" spans="14:14" x14ac:dyDescent="0.3">
      <c r="N99" s="9"/>
    </row>
    <row r="100" spans="14:14" x14ac:dyDescent="0.3">
      <c r="N100" s="9"/>
    </row>
    <row r="101" spans="14:14" x14ac:dyDescent="0.3">
      <c r="N101" s="9"/>
    </row>
    <row r="102" spans="14:14" x14ac:dyDescent="0.3">
      <c r="N102" s="9"/>
    </row>
    <row r="103" spans="14:14" x14ac:dyDescent="0.3">
      <c r="N103" s="9"/>
    </row>
    <row r="104" spans="14:14" x14ac:dyDescent="0.3">
      <c r="N104" s="9"/>
    </row>
    <row r="105" spans="14:14" x14ac:dyDescent="0.3">
      <c r="N105" s="9"/>
    </row>
    <row r="106" spans="14:14" x14ac:dyDescent="0.3">
      <c r="N106" s="9"/>
    </row>
    <row r="107" spans="14:14" x14ac:dyDescent="0.3">
      <c r="N107" s="9"/>
    </row>
    <row r="108" spans="14:14" x14ac:dyDescent="0.3">
      <c r="N108" s="9"/>
    </row>
    <row r="109" spans="14:14" x14ac:dyDescent="0.3">
      <c r="N109" s="9"/>
    </row>
    <row r="110" spans="14:14" x14ac:dyDescent="0.3">
      <c r="N110" s="9"/>
    </row>
    <row r="111" spans="14:14" x14ac:dyDescent="0.3">
      <c r="N111" s="9"/>
    </row>
    <row r="112" spans="14:14" x14ac:dyDescent="0.3">
      <c r="N112" s="9"/>
    </row>
    <row r="113" spans="14:14" x14ac:dyDescent="0.3">
      <c r="N113" s="9"/>
    </row>
    <row r="114" spans="14:14" x14ac:dyDescent="0.3">
      <c r="N114" s="9"/>
    </row>
    <row r="115" spans="14:14" x14ac:dyDescent="0.3">
      <c r="N115" s="9"/>
    </row>
    <row r="116" spans="14:14" x14ac:dyDescent="0.3">
      <c r="N116" s="9"/>
    </row>
    <row r="117" spans="14:14" x14ac:dyDescent="0.3">
      <c r="N117" s="9"/>
    </row>
    <row r="118" spans="14:14" x14ac:dyDescent="0.3">
      <c r="N118" s="9"/>
    </row>
    <row r="119" spans="14:14" x14ac:dyDescent="0.3">
      <c r="N119" s="9"/>
    </row>
    <row r="120" spans="14:14" x14ac:dyDescent="0.3">
      <c r="N120" s="9"/>
    </row>
    <row r="121" spans="14:14" x14ac:dyDescent="0.3">
      <c r="N121" s="9"/>
    </row>
    <row r="122" spans="14:14" x14ac:dyDescent="0.3">
      <c r="N122" s="9"/>
    </row>
    <row r="123" spans="14:14" x14ac:dyDescent="0.3">
      <c r="N123" s="9"/>
    </row>
    <row r="124" spans="14:14" x14ac:dyDescent="0.3">
      <c r="N124" s="9"/>
    </row>
    <row r="125" spans="14:14" x14ac:dyDescent="0.3">
      <c r="N125" s="9"/>
    </row>
    <row r="126" spans="14:14" x14ac:dyDescent="0.3">
      <c r="N126" s="9"/>
    </row>
    <row r="127" spans="14:14" x14ac:dyDescent="0.3">
      <c r="N127" s="9"/>
    </row>
    <row r="128" spans="14:14" x14ac:dyDescent="0.3">
      <c r="N128" s="9"/>
    </row>
    <row r="129" spans="14:14" x14ac:dyDescent="0.3">
      <c r="N129" s="9"/>
    </row>
    <row r="130" spans="14:14" x14ac:dyDescent="0.3">
      <c r="N130" s="9"/>
    </row>
    <row r="131" spans="14:14" x14ac:dyDescent="0.3">
      <c r="N131" s="9"/>
    </row>
    <row r="132" spans="14:14" x14ac:dyDescent="0.3">
      <c r="N132" s="9"/>
    </row>
    <row r="133" spans="14:14" x14ac:dyDescent="0.3">
      <c r="N133" s="9"/>
    </row>
    <row r="134" spans="14:14" x14ac:dyDescent="0.3">
      <c r="N134" s="9"/>
    </row>
    <row r="135" spans="14:14" x14ac:dyDescent="0.3">
      <c r="N135" s="9"/>
    </row>
    <row r="136" spans="14:14" x14ac:dyDescent="0.3">
      <c r="N136" s="9"/>
    </row>
    <row r="137" spans="14:14" x14ac:dyDescent="0.3">
      <c r="N137" s="9"/>
    </row>
    <row r="138" spans="14:14" x14ac:dyDescent="0.3">
      <c r="N138" s="9"/>
    </row>
    <row r="139" spans="14:14" x14ac:dyDescent="0.3">
      <c r="N139" s="9"/>
    </row>
    <row r="140" spans="14:14" x14ac:dyDescent="0.3">
      <c r="N140" s="9"/>
    </row>
    <row r="141" spans="14:14" x14ac:dyDescent="0.3">
      <c r="N141" s="9"/>
    </row>
    <row r="142" spans="14:14" x14ac:dyDescent="0.3">
      <c r="N142" s="9"/>
    </row>
    <row r="143" spans="14:14" x14ac:dyDescent="0.3">
      <c r="N143" s="9"/>
    </row>
    <row r="144" spans="14:14" x14ac:dyDescent="0.3">
      <c r="N144" s="9"/>
    </row>
    <row r="145" spans="14:14" x14ac:dyDescent="0.3">
      <c r="N145" s="9"/>
    </row>
    <row r="146" spans="14:14" x14ac:dyDescent="0.3">
      <c r="N146" s="9"/>
    </row>
    <row r="147" spans="14:14" x14ac:dyDescent="0.3">
      <c r="N147" s="9"/>
    </row>
    <row r="148" spans="14:14" x14ac:dyDescent="0.3">
      <c r="N148" s="9"/>
    </row>
    <row r="149" spans="14:14" x14ac:dyDescent="0.3">
      <c r="N149" s="9"/>
    </row>
    <row r="150" spans="14:14" x14ac:dyDescent="0.3">
      <c r="N150" s="9"/>
    </row>
    <row r="151" spans="14:14" x14ac:dyDescent="0.3">
      <c r="N151" s="9"/>
    </row>
    <row r="152" spans="14:14" x14ac:dyDescent="0.3">
      <c r="N152" s="9"/>
    </row>
    <row r="153" spans="14:14" x14ac:dyDescent="0.3">
      <c r="N153" s="9"/>
    </row>
    <row r="154" spans="14:14" x14ac:dyDescent="0.3">
      <c r="N154" s="9"/>
    </row>
    <row r="155" spans="14:14" x14ac:dyDescent="0.3">
      <c r="N155" s="9"/>
    </row>
    <row r="156" spans="14:14" x14ac:dyDescent="0.3">
      <c r="N156" s="9"/>
    </row>
    <row r="157" spans="14:14" x14ac:dyDescent="0.3">
      <c r="N157" s="9"/>
    </row>
    <row r="158" spans="14:14" x14ac:dyDescent="0.3">
      <c r="N158" s="9"/>
    </row>
    <row r="159" spans="14:14" x14ac:dyDescent="0.3">
      <c r="N159" s="9"/>
    </row>
    <row r="160" spans="14:14" x14ac:dyDescent="0.3">
      <c r="N160" s="9"/>
    </row>
    <row r="161" spans="14:14" x14ac:dyDescent="0.3">
      <c r="N161" s="9"/>
    </row>
    <row r="162" spans="14:14" x14ac:dyDescent="0.3">
      <c r="N162" s="9"/>
    </row>
    <row r="163" spans="14:14" x14ac:dyDescent="0.3">
      <c r="N163" s="9"/>
    </row>
    <row r="164" spans="14:14" x14ac:dyDescent="0.3">
      <c r="N164" s="9"/>
    </row>
    <row r="165" spans="14:14" x14ac:dyDescent="0.3">
      <c r="N165" s="9"/>
    </row>
    <row r="166" spans="14:14" x14ac:dyDescent="0.3">
      <c r="N166" s="9"/>
    </row>
    <row r="167" spans="14:14" x14ac:dyDescent="0.3">
      <c r="N167" s="9"/>
    </row>
    <row r="168" spans="14:14" x14ac:dyDescent="0.3">
      <c r="N168" s="9"/>
    </row>
    <row r="169" spans="14:14" x14ac:dyDescent="0.3">
      <c r="N169" s="9"/>
    </row>
    <row r="170" spans="14:14" x14ac:dyDescent="0.3">
      <c r="N170" s="9"/>
    </row>
    <row r="171" spans="14:14" x14ac:dyDescent="0.3">
      <c r="N171" s="9"/>
    </row>
    <row r="172" spans="14:14" x14ac:dyDescent="0.3">
      <c r="N172" s="9"/>
    </row>
    <row r="173" spans="14:14" x14ac:dyDescent="0.3">
      <c r="N173" s="9"/>
    </row>
    <row r="174" spans="14:14" x14ac:dyDescent="0.3">
      <c r="N174" s="9"/>
    </row>
    <row r="175" spans="14:14" x14ac:dyDescent="0.3">
      <c r="N175" s="9"/>
    </row>
    <row r="176" spans="14:14" x14ac:dyDescent="0.3">
      <c r="N176" s="9"/>
    </row>
    <row r="177" spans="14:14" x14ac:dyDescent="0.3">
      <c r="N177" s="9"/>
    </row>
    <row r="178" spans="14:14" x14ac:dyDescent="0.3">
      <c r="N178" s="9"/>
    </row>
    <row r="179" spans="14:14" x14ac:dyDescent="0.3">
      <c r="N179" s="9"/>
    </row>
    <row r="180" spans="14:14" x14ac:dyDescent="0.3">
      <c r="N180" s="9"/>
    </row>
    <row r="181" spans="14:14" x14ac:dyDescent="0.3">
      <c r="N181" s="9"/>
    </row>
    <row r="182" spans="14:14" x14ac:dyDescent="0.3">
      <c r="N182" s="9"/>
    </row>
    <row r="183" spans="14:14" x14ac:dyDescent="0.3">
      <c r="N183" s="9"/>
    </row>
    <row r="184" spans="14:14" x14ac:dyDescent="0.3">
      <c r="N184" s="9"/>
    </row>
    <row r="185" spans="14:14" x14ac:dyDescent="0.3">
      <c r="N185" s="9"/>
    </row>
    <row r="186" spans="14:14" x14ac:dyDescent="0.3">
      <c r="N186" s="9"/>
    </row>
    <row r="187" spans="14:14" x14ac:dyDescent="0.3">
      <c r="N187" s="9"/>
    </row>
    <row r="188" spans="14:14" x14ac:dyDescent="0.3">
      <c r="N188" s="9"/>
    </row>
    <row r="189" spans="14:14" x14ac:dyDescent="0.3">
      <c r="N189" s="9"/>
    </row>
    <row r="190" spans="14:14" x14ac:dyDescent="0.3">
      <c r="N190" s="9"/>
    </row>
    <row r="191" spans="14:14" x14ac:dyDescent="0.3">
      <c r="N191" s="9"/>
    </row>
    <row r="192" spans="14:14" x14ac:dyDescent="0.3">
      <c r="N192" s="9"/>
    </row>
    <row r="193" spans="14:14" x14ac:dyDescent="0.3">
      <c r="N193" s="9"/>
    </row>
    <row r="194" spans="14:14" x14ac:dyDescent="0.3">
      <c r="N194" s="9"/>
    </row>
    <row r="195" spans="14:14" x14ac:dyDescent="0.3">
      <c r="N195" s="9"/>
    </row>
    <row r="196" spans="14:14" x14ac:dyDescent="0.3">
      <c r="N196" s="9"/>
    </row>
    <row r="197" spans="14:14" x14ac:dyDescent="0.3">
      <c r="N197" s="9"/>
    </row>
    <row r="198" spans="14:14" x14ac:dyDescent="0.3">
      <c r="N198" s="9"/>
    </row>
    <row r="199" spans="14:14" x14ac:dyDescent="0.3">
      <c r="N199" s="9"/>
    </row>
    <row r="200" spans="14:14" x14ac:dyDescent="0.3">
      <c r="N200" s="9"/>
    </row>
    <row r="201" spans="14:14" x14ac:dyDescent="0.3">
      <c r="N201" s="9"/>
    </row>
    <row r="202" spans="14:14" x14ac:dyDescent="0.3">
      <c r="N202" s="9"/>
    </row>
    <row r="203" spans="14:14" x14ac:dyDescent="0.3">
      <c r="N203" s="9"/>
    </row>
    <row r="204" spans="14:14" x14ac:dyDescent="0.3">
      <c r="N204" s="9"/>
    </row>
    <row r="205" spans="14:14" x14ac:dyDescent="0.3">
      <c r="N205" s="9"/>
    </row>
    <row r="206" spans="14:14" x14ac:dyDescent="0.3">
      <c r="N206" s="9"/>
    </row>
    <row r="207" spans="14:14" x14ac:dyDescent="0.3">
      <c r="N207" s="9"/>
    </row>
    <row r="208" spans="14:14" x14ac:dyDescent="0.3">
      <c r="N208" s="9"/>
    </row>
    <row r="209" spans="14:14" x14ac:dyDescent="0.3">
      <c r="N209" s="9"/>
    </row>
    <row r="210" spans="14:14" x14ac:dyDescent="0.3">
      <c r="N210" s="9"/>
    </row>
    <row r="211" spans="14:14" x14ac:dyDescent="0.3">
      <c r="N211" s="9"/>
    </row>
    <row r="212" spans="14:14" x14ac:dyDescent="0.3">
      <c r="N212" s="9"/>
    </row>
    <row r="213" spans="14:14" x14ac:dyDescent="0.3">
      <c r="N213" s="9"/>
    </row>
    <row r="214" spans="14:14" x14ac:dyDescent="0.3">
      <c r="N214" s="9"/>
    </row>
    <row r="215" spans="14:14" x14ac:dyDescent="0.3">
      <c r="N215" s="9"/>
    </row>
    <row r="216" spans="14:14" x14ac:dyDescent="0.3">
      <c r="N216" s="9"/>
    </row>
    <row r="217" spans="14:14" x14ac:dyDescent="0.3">
      <c r="N217" s="9"/>
    </row>
    <row r="218" spans="14:14" x14ac:dyDescent="0.3">
      <c r="N218" s="9"/>
    </row>
    <row r="219" spans="14:14" x14ac:dyDescent="0.3">
      <c r="N219" s="9"/>
    </row>
    <row r="220" spans="14:14" x14ac:dyDescent="0.3">
      <c r="N220" s="9"/>
    </row>
    <row r="221" spans="14:14" x14ac:dyDescent="0.3">
      <c r="N221" s="9"/>
    </row>
    <row r="222" spans="14:14" x14ac:dyDescent="0.3">
      <c r="N222" s="9"/>
    </row>
    <row r="223" spans="14:14" x14ac:dyDescent="0.3">
      <c r="N223" s="9"/>
    </row>
    <row r="224" spans="14:14" x14ac:dyDescent="0.3">
      <c r="N224" s="9"/>
    </row>
    <row r="225" spans="14:14" x14ac:dyDescent="0.3">
      <c r="N225" s="9"/>
    </row>
    <row r="226" spans="14:14" x14ac:dyDescent="0.3">
      <c r="N226" s="9"/>
    </row>
    <row r="227" spans="14:14" x14ac:dyDescent="0.3">
      <c r="N227" s="9"/>
    </row>
    <row r="228" spans="14:14" x14ac:dyDescent="0.3">
      <c r="N228" s="9"/>
    </row>
    <row r="229" spans="14:14" x14ac:dyDescent="0.3">
      <c r="N229" s="9"/>
    </row>
    <row r="230" spans="14:14" x14ac:dyDescent="0.3">
      <c r="N230" s="9"/>
    </row>
    <row r="231" spans="14:14" x14ac:dyDescent="0.3">
      <c r="N231" s="9"/>
    </row>
    <row r="232" spans="14:14" x14ac:dyDescent="0.3">
      <c r="N232" s="9"/>
    </row>
    <row r="233" spans="14:14" x14ac:dyDescent="0.3">
      <c r="N233" s="9"/>
    </row>
    <row r="234" spans="14:14" x14ac:dyDescent="0.3">
      <c r="N234" s="9"/>
    </row>
    <row r="235" spans="14:14" x14ac:dyDescent="0.3">
      <c r="N235" s="9"/>
    </row>
    <row r="236" spans="14:14" x14ac:dyDescent="0.3">
      <c r="N236" s="9"/>
    </row>
    <row r="237" spans="14:14" x14ac:dyDescent="0.3">
      <c r="N237" s="9"/>
    </row>
    <row r="238" spans="14:14" x14ac:dyDescent="0.3">
      <c r="N238" s="9"/>
    </row>
    <row r="239" spans="14:14" x14ac:dyDescent="0.3">
      <c r="N239" s="9"/>
    </row>
    <row r="240" spans="14:14" x14ac:dyDescent="0.3">
      <c r="N240" s="9"/>
    </row>
    <row r="241" spans="14:14" x14ac:dyDescent="0.3">
      <c r="N241" s="9"/>
    </row>
    <row r="242" spans="14:14" x14ac:dyDescent="0.3">
      <c r="N242" s="9"/>
    </row>
    <row r="243" spans="14:14" x14ac:dyDescent="0.3">
      <c r="N243" s="9"/>
    </row>
    <row r="244" spans="14:14" x14ac:dyDescent="0.3">
      <c r="N244" s="9"/>
    </row>
    <row r="245" spans="14:14" x14ac:dyDescent="0.3">
      <c r="N245" s="9"/>
    </row>
    <row r="246" spans="14:14" x14ac:dyDescent="0.3">
      <c r="N246" s="9"/>
    </row>
    <row r="247" spans="14:14" x14ac:dyDescent="0.3">
      <c r="N247" s="9"/>
    </row>
    <row r="248" spans="14:14" x14ac:dyDescent="0.3">
      <c r="N248" s="9"/>
    </row>
    <row r="249" spans="14:14" x14ac:dyDescent="0.3">
      <c r="N249" s="9"/>
    </row>
    <row r="250" spans="14:14" x14ac:dyDescent="0.3">
      <c r="N250" s="9"/>
    </row>
    <row r="251" spans="14:14" x14ac:dyDescent="0.3">
      <c r="N251" s="9"/>
    </row>
    <row r="252" spans="14:14" x14ac:dyDescent="0.3">
      <c r="N252" s="9"/>
    </row>
    <row r="253" spans="14:14" x14ac:dyDescent="0.3">
      <c r="N253" s="9"/>
    </row>
    <row r="254" spans="14:14" x14ac:dyDescent="0.3">
      <c r="N254" s="9"/>
    </row>
    <row r="255" spans="14:14" x14ac:dyDescent="0.3">
      <c r="N255" s="9"/>
    </row>
    <row r="256" spans="14:14" x14ac:dyDescent="0.3">
      <c r="N256" s="9"/>
    </row>
    <row r="257" spans="14:14" x14ac:dyDescent="0.3">
      <c r="N257" s="9"/>
    </row>
    <row r="258" spans="14:14" x14ac:dyDescent="0.3">
      <c r="N258" s="9"/>
    </row>
    <row r="259" spans="14:14" x14ac:dyDescent="0.3">
      <c r="N259" s="9"/>
    </row>
    <row r="260" spans="14:14" x14ac:dyDescent="0.3">
      <c r="N260" s="9"/>
    </row>
    <row r="261" spans="14:14" x14ac:dyDescent="0.3">
      <c r="N261" s="9"/>
    </row>
    <row r="262" spans="14:14" x14ac:dyDescent="0.3">
      <c r="N262" s="9"/>
    </row>
    <row r="263" spans="14:14" x14ac:dyDescent="0.3">
      <c r="N263" s="9"/>
    </row>
    <row r="264" spans="14:14" x14ac:dyDescent="0.3">
      <c r="N264" s="9"/>
    </row>
    <row r="265" spans="14:14" x14ac:dyDescent="0.3">
      <c r="N265" s="9"/>
    </row>
    <row r="266" spans="14:14" x14ac:dyDescent="0.3">
      <c r="N266" s="9"/>
    </row>
    <row r="267" spans="14:14" x14ac:dyDescent="0.3">
      <c r="N267" s="9"/>
    </row>
    <row r="268" spans="14:14" x14ac:dyDescent="0.3">
      <c r="N268" s="9"/>
    </row>
    <row r="269" spans="14:14" x14ac:dyDescent="0.3">
      <c r="N269" s="9"/>
    </row>
    <row r="270" spans="14:14" x14ac:dyDescent="0.3">
      <c r="N270" s="9"/>
    </row>
    <row r="271" spans="14:14" x14ac:dyDescent="0.3">
      <c r="N271" s="9"/>
    </row>
    <row r="272" spans="14:14" x14ac:dyDescent="0.3">
      <c r="N272" s="9"/>
    </row>
    <row r="273" spans="14:14" x14ac:dyDescent="0.3">
      <c r="N273" s="9"/>
    </row>
    <row r="274" spans="14:14" x14ac:dyDescent="0.3">
      <c r="N274" s="9"/>
    </row>
    <row r="275" spans="14:14" x14ac:dyDescent="0.3">
      <c r="N275" s="9"/>
    </row>
    <row r="276" spans="14:14" x14ac:dyDescent="0.3">
      <c r="N276" s="9"/>
    </row>
    <row r="277" spans="14:14" x14ac:dyDescent="0.3">
      <c r="N277" s="9"/>
    </row>
    <row r="278" spans="14:14" x14ac:dyDescent="0.3">
      <c r="N278" s="9"/>
    </row>
    <row r="279" spans="14:14" x14ac:dyDescent="0.3">
      <c r="N279" s="9"/>
    </row>
    <row r="280" spans="14:14" x14ac:dyDescent="0.3">
      <c r="N280" s="9"/>
    </row>
    <row r="281" spans="14:14" x14ac:dyDescent="0.3">
      <c r="N281" s="9"/>
    </row>
    <row r="282" spans="14:14" x14ac:dyDescent="0.3">
      <c r="N282" s="9"/>
    </row>
    <row r="283" spans="14:14" x14ac:dyDescent="0.3">
      <c r="N283" s="9"/>
    </row>
    <row r="284" spans="14:14" x14ac:dyDescent="0.3">
      <c r="N284" s="9"/>
    </row>
    <row r="285" spans="14:14" x14ac:dyDescent="0.3">
      <c r="N285" s="9"/>
    </row>
    <row r="286" spans="14:14" x14ac:dyDescent="0.3">
      <c r="N286" s="9"/>
    </row>
    <row r="287" spans="14:14" x14ac:dyDescent="0.3">
      <c r="N287" s="9"/>
    </row>
    <row r="288" spans="14:14" x14ac:dyDescent="0.3">
      <c r="N288" s="9"/>
    </row>
    <row r="289" spans="14:14" x14ac:dyDescent="0.3">
      <c r="N289" s="9"/>
    </row>
    <row r="290" spans="14:14" x14ac:dyDescent="0.3">
      <c r="N290" s="9"/>
    </row>
    <row r="291" spans="14:14" x14ac:dyDescent="0.3">
      <c r="N291" s="9"/>
    </row>
    <row r="292" spans="14:14" x14ac:dyDescent="0.3">
      <c r="N292" s="9"/>
    </row>
    <row r="293" spans="14:14" x14ac:dyDescent="0.3">
      <c r="N293" s="9"/>
    </row>
    <row r="294" spans="14:14" x14ac:dyDescent="0.3">
      <c r="N294" s="9"/>
    </row>
    <row r="295" spans="14:14" x14ac:dyDescent="0.3">
      <c r="N295" s="9"/>
    </row>
    <row r="296" spans="14:14" x14ac:dyDescent="0.3">
      <c r="N296" s="9"/>
    </row>
    <row r="297" spans="14:14" x14ac:dyDescent="0.3">
      <c r="N297" s="9"/>
    </row>
    <row r="298" spans="14:14" x14ac:dyDescent="0.3">
      <c r="N298" s="9"/>
    </row>
    <row r="299" spans="14:14" x14ac:dyDescent="0.3">
      <c r="N299" s="9"/>
    </row>
    <row r="300" spans="14:14" x14ac:dyDescent="0.3">
      <c r="N300" s="9"/>
    </row>
    <row r="301" spans="14:14" x14ac:dyDescent="0.3">
      <c r="N301" s="9"/>
    </row>
    <row r="302" spans="14:14" x14ac:dyDescent="0.3">
      <c r="N302" s="9"/>
    </row>
    <row r="303" spans="14:14" x14ac:dyDescent="0.3">
      <c r="N303" s="9"/>
    </row>
    <row r="304" spans="14:14" x14ac:dyDescent="0.3">
      <c r="N304" s="9"/>
    </row>
    <row r="305" spans="14:14" x14ac:dyDescent="0.3">
      <c r="N305" s="9"/>
    </row>
    <row r="306" spans="14:14" x14ac:dyDescent="0.3">
      <c r="N306" s="9"/>
    </row>
    <row r="307" spans="14:14" x14ac:dyDescent="0.3">
      <c r="N307" s="9"/>
    </row>
    <row r="308" spans="14:14" x14ac:dyDescent="0.3">
      <c r="N308" s="9"/>
    </row>
    <row r="309" spans="14:14" x14ac:dyDescent="0.3">
      <c r="N309" s="9"/>
    </row>
    <row r="310" spans="14:14" x14ac:dyDescent="0.3">
      <c r="N310" s="9"/>
    </row>
    <row r="311" spans="14:14" x14ac:dyDescent="0.3">
      <c r="N311" s="9"/>
    </row>
    <row r="312" spans="14:14" x14ac:dyDescent="0.3">
      <c r="N312" s="9"/>
    </row>
    <row r="313" spans="14:14" x14ac:dyDescent="0.3">
      <c r="N313" s="9"/>
    </row>
    <row r="314" spans="14:14" x14ac:dyDescent="0.3">
      <c r="N314" s="9"/>
    </row>
    <row r="315" spans="14:14" x14ac:dyDescent="0.3">
      <c r="N315" s="9"/>
    </row>
    <row r="316" spans="14:14" x14ac:dyDescent="0.3">
      <c r="N316" s="9"/>
    </row>
    <row r="317" spans="14:14" x14ac:dyDescent="0.3">
      <c r="N317" s="9"/>
    </row>
    <row r="318" spans="14:14" x14ac:dyDescent="0.3">
      <c r="N318" s="9"/>
    </row>
    <row r="319" spans="14:14" x14ac:dyDescent="0.3">
      <c r="N319" s="9"/>
    </row>
    <row r="320" spans="14:14" x14ac:dyDescent="0.3">
      <c r="N320" s="9"/>
    </row>
    <row r="321" spans="14:14" x14ac:dyDescent="0.3">
      <c r="N321" s="9"/>
    </row>
    <row r="322" spans="14:14" x14ac:dyDescent="0.3">
      <c r="N322" s="9"/>
    </row>
    <row r="323" spans="14:14" x14ac:dyDescent="0.3">
      <c r="N323" s="9"/>
    </row>
    <row r="324" spans="14:14" x14ac:dyDescent="0.3">
      <c r="N324" s="9"/>
    </row>
    <row r="325" spans="14:14" x14ac:dyDescent="0.3">
      <c r="N325" s="9"/>
    </row>
    <row r="326" spans="14:14" x14ac:dyDescent="0.3">
      <c r="N326" s="9"/>
    </row>
    <row r="327" spans="14:14" x14ac:dyDescent="0.3">
      <c r="N327" s="9"/>
    </row>
    <row r="328" spans="14:14" x14ac:dyDescent="0.3">
      <c r="N328" s="9"/>
    </row>
    <row r="329" spans="14:14" x14ac:dyDescent="0.3">
      <c r="N329" s="9"/>
    </row>
    <row r="330" spans="14:14" x14ac:dyDescent="0.3">
      <c r="N330" s="9"/>
    </row>
    <row r="331" spans="14:14" x14ac:dyDescent="0.3">
      <c r="N331" s="9"/>
    </row>
    <row r="332" spans="14:14" x14ac:dyDescent="0.3">
      <c r="N332" s="9"/>
    </row>
    <row r="333" spans="14:14" x14ac:dyDescent="0.3">
      <c r="N333" s="9"/>
    </row>
    <row r="334" spans="14:14" x14ac:dyDescent="0.3">
      <c r="N334" s="9"/>
    </row>
    <row r="335" spans="14:14" x14ac:dyDescent="0.3">
      <c r="N335" s="9"/>
    </row>
    <row r="336" spans="14:14" x14ac:dyDescent="0.3">
      <c r="N336" s="9"/>
    </row>
    <row r="337" spans="14:14" x14ac:dyDescent="0.3">
      <c r="N337" s="9"/>
    </row>
    <row r="338" spans="14:14" x14ac:dyDescent="0.3">
      <c r="N338" s="9"/>
    </row>
    <row r="339" spans="14:14" x14ac:dyDescent="0.3">
      <c r="N339" s="9"/>
    </row>
    <row r="340" spans="14:14" x14ac:dyDescent="0.3">
      <c r="N340" s="9"/>
    </row>
    <row r="341" spans="14:14" x14ac:dyDescent="0.3">
      <c r="N341" s="9"/>
    </row>
    <row r="342" spans="14:14" x14ac:dyDescent="0.3">
      <c r="N342" s="9"/>
    </row>
    <row r="343" spans="14:14" x14ac:dyDescent="0.3">
      <c r="N343" s="9"/>
    </row>
    <row r="344" spans="14:14" x14ac:dyDescent="0.3">
      <c r="N344" s="9"/>
    </row>
    <row r="345" spans="14:14" x14ac:dyDescent="0.3">
      <c r="N345" s="9"/>
    </row>
    <row r="346" spans="14:14" x14ac:dyDescent="0.3">
      <c r="N346" s="9"/>
    </row>
    <row r="347" spans="14:14" x14ac:dyDescent="0.3">
      <c r="N347" s="9"/>
    </row>
    <row r="348" spans="14:14" x14ac:dyDescent="0.3">
      <c r="N348" s="9"/>
    </row>
    <row r="349" spans="14:14" x14ac:dyDescent="0.3">
      <c r="N349" s="9"/>
    </row>
    <row r="350" spans="14:14" x14ac:dyDescent="0.3">
      <c r="N350" s="9"/>
    </row>
    <row r="351" spans="14:14" x14ac:dyDescent="0.3">
      <c r="N351" s="9"/>
    </row>
    <row r="352" spans="14:14" x14ac:dyDescent="0.3">
      <c r="N352" s="9"/>
    </row>
    <row r="353" spans="14:14" x14ac:dyDescent="0.3">
      <c r="N353" s="9"/>
    </row>
    <row r="354" spans="14:14" x14ac:dyDescent="0.3">
      <c r="N354" s="9"/>
    </row>
    <row r="355" spans="14:14" x14ac:dyDescent="0.3">
      <c r="N355" s="9"/>
    </row>
    <row r="356" spans="14:14" x14ac:dyDescent="0.3">
      <c r="N356" s="9"/>
    </row>
    <row r="357" spans="14:14" x14ac:dyDescent="0.3">
      <c r="N357" s="9"/>
    </row>
    <row r="358" spans="14:14" x14ac:dyDescent="0.3">
      <c r="N358" s="9"/>
    </row>
    <row r="359" spans="14:14" x14ac:dyDescent="0.3">
      <c r="N359" s="9"/>
    </row>
    <row r="360" spans="14:14" x14ac:dyDescent="0.3">
      <c r="N360" s="9"/>
    </row>
    <row r="361" spans="14:14" x14ac:dyDescent="0.3">
      <c r="N361" s="9"/>
    </row>
    <row r="362" spans="14:14" x14ac:dyDescent="0.3">
      <c r="N362" s="9"/>
    </row>
    <row r="363" spans="14:14" x14ac:dyDescent="0.3">
      <c r="N363" s="9"/>
    </row>
    <row r="364" spans="14:14" x14ac:dyDescent="0.3">
      <c r="N364" s="9"/>
    </row>
    <row r="365" spans="14:14" x14ac:dyDescent="0.3">
      <c r="N365" s="9"/>
    </row>
    <row r="366" spans="14:14" x14ac:dyDescent="0.3">
      <c r="N366" s="9"/>
    </row>
    <row r="367" spans="14:14" x14ac:dyDescent="0.3">
      <c r="N367" s="9"/>
    </row>
    <row r="368" spans="14:14" x14ac:dyDescent="0.3">
      <c r="N368" s="9"/>
    </row>
    <row r="369" spans="14:14" x14ac:dyDescent="0.3">
      <c r="N369" s="9"/>
    </row>
    <row r="370" spans="14:14" x14ac:dyDescent="0.3">
      <c r="N370" s="9"/>
    </row>
    <row r="371" spans="14:14" x14ac:dyDescent="0.3">
      <c r="N371" s="9"/>
    </row>
    <row r="372" spans="14:14" x14ac:dyDescent="0.3">
      <c r="N372" s="9"/>
    </row>
    <row r="373" spans="14:14" x14ac:dyDescent="0.3">
      <c r="N373" s="9"/>
    </row>
    <row r="374" spans="14:14" x14ac:dyDescent="0.3">
      <c r="N374" s="9"/>
    </row>
    <row r="375" spans="14:14" x14ac:dyDescent="0.3">
      <c r="N375" s="9"/>
    </row>
    <row r="376" spans="14:14" x14ac:dyDescent="0.3">
      <c r="N376" s="9"/>
    </row>
    <row r="377" spans="14:14" x14ac:dyDescent="0.3">
      <c r="N377" s="9"/>
    </row>
    <row r="378" spans="14:14" x14ac:dyDescent="0.3">
      <c r="N378" s="9"/>
    </row>
    <row r="379" spans="14:14" x14ac:dyDescent="0.3">
      <c r="N379" s="9"/>
    </row>
    <row r="380" spans="14:14" x14ac:dyDescent="0.3">
      <c r="N380" s="9"/>
    </row>
    <row r="381" spans="14:14" x14ac:dyDescent="0.3">
      <c r="N381" s="9"/>
    </row>
    <row r="382" spans="14:14" x14ac:dyDescent="0.3">
      <c r="N382" s="9"/>
    </row>
    <row r="383" spans="14:14" x14ac:dyDescent="0.3">
      <c r="N383" s="9"/>
    </row>
    <row r="384" spans="14:14" x14ac:dyDescent="0.3">
      <c r="N384" s="9"/>
    </row>
    <row r="385" spans="14:14" x14ac:dyDescent="0.3">
      <c r="N385" s="9"/>
    </row>
    <row r="386" spans="14:14" x14ac:dyDescent="0.3">
      <c r="N386" s="9"/>
    </row>
    <row r="387" spans="14:14" x14ac:dyDescent="0.3">
      <c r="N387" s="9"/>
    </row>
    <row r="388" spans="14:14" x14ac:dyDescent="0.3">
      <c r="N388" s="9"/>
    </row>
    <row r="389" spans="14:14" x14ac:dyDescent="0.3">
      <c r="N389" s="9"/>
    </row>
    <row r="390" spans="14:14" x14ac:dyDescent="0.3">
      <c r="N390" s="9"/>
    </row>
    <row r="391" spans="14:14" x14ac:dyDescent="0.3">
      <c r="N391" s="9"/>
    </row>
    <row r="392" spans="14:14" x14ac:dyDescent="0.3">
      <c r="N392" s="9"/>
    </row>
    <row r="393" spans="14:14" x14ac:dyDescent="0.3">
      <c r="N393" s="9"/>
    </row>
    <row r="394" spans="14:14" x14ac:dyDescent="0.3">
      <c r="N394" s="9"/>
    </row>
    <row r="395" spans="14:14" x14ac:dyDescent="0.3">
      <c r="N395" s="9"/>
    </row>
    <row r="396" spans="14:14" x14ac:dyDescent="0.3">
      <c r="N396" s="9"/>
    </row>
    <row r="397" spans="14:14" x14ac:dyDescent="0.3">
      <c r="N397" s="9"/>
    </row>
    <row r="398" spans="14:14" x14ac:dyDescent="0.3">
      <c r="N398" s="9"/>
    </row>
    <row r="399" spans="14:14" x14ac:dyDescent="0.3">
      <c r="N399" s="9"/>
    </row>
    <row r="400" spans="14:14" x14ac:dyDescent="0.3">
      <c r="N400" s="9"/>
    </row>
    <row r="401" spans="14:14" x14ac:dyDescent="0.3">
      <c r="N401" s="9"/>
    </row>
    <row r="402" spans="14:14" x14ac:dyDescent="0.3">
      <c r="N402" s="9"/>
    </row>
    <row r="403" spans="14:14" x14ac:dyDescent="0.3">
      <c r="N403" s="9"/>
    </row>
    <row r="404" spans="14:14" x14ac:dyDescent="0.3">
      <c r="N404" s="9"/>
    </row>
    <row r="405" spans="14:14" x14ac:dyDescent="0.3">
      <c r="N405" s="9"/>
    </row>
    <row r="406" spans="14:14" x14ac:dyDescent="0.3">
      <c r="N406" s="9"/>
    </row>
    <row r="407" spans="14:14" x14ac:dyDescent="0.3">
      <c r="N407" s="9"/>
    </row>
    <row r="408" spans="14:14" x14ac:dyDescent="0.3">
      <c r="N408" s="9"/>
    </row>
    <row r="409" spans="14:14" x14ac:dyDescent="0.3">
      <c r="N409" s="9"/>
    </row>
    <row r="410" spans="14:14" x14ac:dyDescent="0.3">
      <c r="N410" s="9"/>
    </row>
    <row r="411" spans="14:14" x14ac:dyDescent="0.3">
      <c r="N411" s="9"/>
    </row>
    <row r="412" spans="14:14" x14ac:dyDescent="0.3">
      <c r="N412" s="9"/>
    </row>
    <row r="413" spans="14:14" x14ac:dyDescent="0.3">
      <c r="N413" s="9"/>
    </row>
    <row r="414" spans="14:14" x14ac:dyDescent="0.3">
      <c r="N414" s="9"/>
    </row>
    <row r="415" spans="14:14" x14ac:dyDescent="0.3">
      <c r="N415" s="9"/>
    </row>
    <row r="416" spans="14:14" x14ac:dyDescent="0.3">
      <c r="N416" s="9"/>
    </row>
    <row r="417" spans="14:14" x14ac:dyDescent="0.3">
      <c r="N417" s="9"/>
    </row>
    <row r="418" spans="14:14" x14ac:dyDescent="0.3">
      <c r="N418" s="9"/>
    </row>
    <row r="419" spans="14:14" x14ac:dyDescent="0.3">
      <c r="N419" s="9"/>
    </row>
    <row r="420" spans="14:14" x14ac:dyDescent="0.3">
      <c r="N420" s="9"/>
    </row>
    <row r="421" spans="14:14" x14ac:dyDescent="0.3">
      <c r="N421" s="9"/>
    </row>
    <row r="422" spans="14:14" x14ac:dyDescent="0.3">
      <c r="N422" s="9"/>
    </row>
    <row r="423" spans="14:14" x14ac:dyDescent="0.3">
      <c r="N423" s="9"/>
    </row>
    <row r="424" spans="14:14" x14ac:dyDescent="0.3">
      <c r="N424" s="9"/>
    </row>
    <row r="425" spans="14:14" x14ac:dyDescent="0.3">
      <c r="N425" s="9"/>
    </row>
    <row r="426" spans="14:14" x14ac:dyDescent="0.3">
      <c r="N426" s="9"/>
    </row>
    <row r="427" spans="14:14" x14ac:dyDescent="0.3">
      <c r="N427" s="9"/>
    </row>
    <row r="428" spans="14:14" x14ac:dyDescent="0.3">
      <c r="N428" s="9"/>
    </row>
    <row r="429" spans="14:14" x14ac:dyDescent="0.3">
      <c r="N429" s="9"/>
    </row>
    <row r="430" spans="14:14" x14ac:dyDescent="0.3">
      <c r="N430" s="9"/>
    </row>
    <row r="431" spans="14:14" x14ac:dyDescent="0.3">
      <c r="N431" s="9"/>
    </row>
    <row r="432" spans="14:14" x14ac:dyDescent="0.3">
      <c r="N432" s="9"/>
    </row>
    <row r="433" spans="14:14" x14ac:dyDescent="0.3">
      <c r="N433" s="9"/>
    </row>
    <row r="434" spans="14:14" x14ac:dyDescent="0.3">
      <c r="N434" s="9"/>
    </row>
    <row r="435" spans="14:14" x14ac:dyDescent="0.3">
      <c r="N435" s="9"/>
    </row>
    <row r="436" spans="14:14" x14ac:dyDescent="0.3">
      <c r="N436" s="9"/>
    </row>
    <row r="437" spans="14:14" x14ac:dyDescent="0.3">
      <c r="N437" s="9"/>
    </row>
    <row r="438" spans="14:14" x14ac:dyDescent="0.3">
      <c r="N438" s="9"/>
    </row>
    <row r="439" spans="14:14" x14ac:dyDescent="0.3">
      <c r="N439" s="9"/>
    </row>
    <row r="440" spans="14:14" x14ac:dyDescent="0.3">
      <c r="N440" s="9"/>
    </row>
    <row r="441" spans="14:14" x14ac:dyDescent="0.3">
      <c r="N441" s="9"/>
    </row>
    <row r="442" spans="14:14" x14ac:dyDescent="0.3">
      <c r="N442" s="9"/>
    </row>
    <row r="443" spans="14:14" x14ac:dyDescent="0.3">
      <c r="N443" s="9"/>
    </row>
    <row r="444" spans="14:14" x14ac:dyDescent="0.3">
      <c r="N444" s="9"/>
    </row>
    <row r="445" spans="14:14" x14ac:dyDescent="0.3">
      <c r="N445" s="9"/>
    </row>
    <row r="446" spans="14:14" x14ac:dyDescent="0.3">
      <c r="N446" s="9"/>
    </row>
    <row r="447" spans="14:14" x14ac:dyDescent="0.3">
      <c r="N447" s="9"/>
    </row>
    <row r="448" spans="14:14" x14ac:dyDescent="0.3">
      <c r="N448" s="9"/>
    </row>
    <row r="449" spans="14:14" x14ac:dyDescent="0.3">
      <c r="N449" s="9"/>
    </row>
    <row r="450" spans="14:14" x14ac:dyDescent="0.3">
      <c r="N450" s="9"/>
    </row>
    <row r="451" spans="14:14" x14ac:dyDescent="0.3">
      <c r="N451" s="9"/>
    </row>
    <row r="452" spans="14:14" x14ac:dyDescent="0.3">
      <c r="N452" s="9"/>
    </row>
    <row r="453" spans="14:14" x14ac:dyDescent="0.3">
      <c r="N453" s="9"/>
    </row>
    <row r="454" spans="14:14" x14ac:dyDescent="0.3">
      <c r="N454" s="9"/>
    </row>
    <row r="455" spans="14:14" x14ac:dyDescent="0.3">
      <c r="N455" s="9"/>
    </row>
    <row r="456" spans="14:14" x14ac:dyDescent="0.3">
      <c r="N456" s="9"/>
    </row>
    <row r="457" spans="14:14" x14ac:dyDescent="0.3">
      <c r="N457" s="9"/>
    </row>
    <row r="458" spans="14:14" x14ac:dyDescent="0.3">
      <c r="N458" s="9"/>
    </row>
    <row r="459" spans="14:14" x14ac:dyDescent="0.3">
      <c r="N459" s="9"/>
    </row>
    <row r="460" spans="14:14" x14ac:dyDescent="0.3">
      <c r="N460" s="9"/>
    </row>
    <row r="461" spans="14:14" x14ac:dyDescent="0.3">
      <c r="N461" s="9"/>
    </row>
    <row r="462" spans="14:14" x14ac:dyDescent="0.3">
      <c r="N462" s="9"/>
    </row>
    <row r="463" spans="14:14" x14ac:dyDescent="0.3">
      <c r="N463" s="9"/>
    </row>
    <row r="464" spans="14:14" x14ac:dyDescent="0.3">
      <c r="N464" s="9"/>
    </row>
    <row r="465" spans="14:14" x14ac:dyDescent="0.3">
      <c r="N465" s="9"/>
    </row>
    <row r="466" spans="14:14" x14ac:dyDescent="0.3">
      <c r="N466" s="9"/>
    </row>
    <row r="467" spans="14:14" x14ac:dyDescent="0.3">
      <c r="N467" s="9"/>
    </row>
    <row r="468" spans="14:14" x14ac:dyDescent="0.3">
      <c r="N468" s="9"/>
    </row>
    <row r="469" spans="14:14" x14ac:dyDescent="0.3">
      <c r="N469" s="9"/>
    </row>
    <row r="470" spans="14:14" x14ac:dyDescent="0.3">
      <c r="N470" s="9"/>
    </row>
    <row r="471" spans="14:14" x14ac:dyDescent="0.3">
      <c r="N471" s="9"/>
    </row>
    <row r="472" spans="14:14" x14ac:dyDescent="0.3">
      <c r="N472" s="9"/>
    </row>
    <row r="473" spans="14:14" x14ac:dyDescent="0.3">
      <c r="N473" s="9"/>
    </row>
    <row r="474" spans="14:14" x14ac:dyDescent="0.3">
      <c r="N474" s="9"/>
    </row>
    <row r="475" spans="14:14" x14ac:dyDescent="0.3">
      <c r="N475" s="9"/>
    </row>
    <row r="476" spans="14:14" x14ac:dyDescent="0.3">
      <c r="N476" s="9"/>
    </row>
    <row r="477" spans="14:14" x14ac:dyDescent="0.3">
      <c r="N477" s="9"/>
    </row>
    <row r="478" spans="14:14" x14ac:dyDescent="0.3">
      <c r="N478" s="9"/>
    </row>
    <row r="479" spans="14:14" x14ac:dyDescent="0.3">
      <c r="N479" s="9"/>
    </row>
    <row r="480" spans="14:14" x14ac:dyDescent="0.3">
      <c r="N480" s="9"/>
    </row>
    <row r="481" spans="14:14" x14ac:dyDescent="0.3">
      <c r="N481" s="9"/>
    </row>
    <row r="482" spans="14:14" x14ac:dyDescent="0.3">
      <c r="N482" s="9"/>
    </row>
    <row r="483" spans="14:14" x14ac:dyDescent="0.3">
      <c r="N483" s="9"/>
    </row>
    <row r="484" spans="14:14" x14ac:dyDescent="0.3">
      <c r="N484" s="9"/>
    </row>
    <row r="485" spans="14:14" x14ac:dyDescent="0.3">
      <c r="N485" s="9"/>
    </row>
    <row r="486" spans="14:14" x14ac:dyDescent="0.3">
      <c r="N486" s="9"/>
    </row>
    <row r="487" spans="14:14" x14ac:dyDescent="0.3">
      <c r="N487" s="9"/>
    </row>
    <row r="488" spans="14:14" x14ac:dyDescent="0.3">
      <c r="N488" s="9"/>
    </row>
    <row r="489" spans="14:14" x14ac:dyDescent="0.3">
      <c r="N489" s="9"/>
    </row>
    <row r="490" spans="14:14" x14ac:dyDescent="0.3">
      <c r="N490" s="9"/>
    </row>
    <row r="491" spans="14:14" x14ac:dyDescent="0.3">
      <c r="N491" s="9"/>
    </row>
    <row r="492" spans="14:14" x14ac:dyDescent="0.3">
      <c r="N492" s="9"/>
    </row>
    <row r="493" spans="14:14" x14ac:dyDescent="0.3">
      <c r="N493" s="9"/>
    </row>
    <row r="494" spans="14:14" x14ac:dyDescent="0.3">
      <c r="N494" s="9"/>
    </row>
    <row r="495" spans="14:14" x14ac:dyDescent="0.3">
      <c r="N495" s="9"/>
    </row>
    <row r="496" spans="14:14" x14ac:dyDescent="0.3">
      <c r="N496" s="9"/>
    </row>
    <row r="497" spans="14:14" x14ac:dyDescent="0.3">
      <c r="N497" s="9"/>
    </row>
    <row r="498" spans="14:14" x14ac:dyDescent="0.3">
      <c r="N498" s="9"/>
    </row>
    <row r="499" spans="14:14" x14ac:dyDescent="0.3">
      <c r="N499" s="9"/>
    </row>
    <row r="500" spans="14:14" x14ac:dyDescent="0.3">
      <c r="N500" s="9"/>
    </row>
    <row r="501" spans="14:14" x14ac:dyDescent="0.3">
      <c r="N501" s="9"/>
    </row>
    <row r="502" spans="14:14" x14ac:dyDescent="0.3">
      <c r="N502" s="9"/>
    </row>
    <row r="503" spans="14:14" x14ac:dyDescent="0.3">
      <c r="N503" s="9"/>
    </row>
    <row r="504" spans="14:14" x14ac:dyDescent="0.3">
      <c r="N504" s="9"/>
    </row>
    <row r="505" spans="14:14" x14ac:dyDescent="0.3">
      <c r="N505" s="9"/>
    </row>
    <row r="506" spans="14:14" x14ac:dyDescent="0.3">
      <c r="N506" s="9"/>
    </row>
    <row r="507" spans="14:14" x14ac:dyDescent="0.3">
      <c r="N507" s="9"/>
    </row>
    <row r="508" spans="14:14" x14ac:dyDescent="0.3">
      <c r="N508" s="9"/>
    </row>
    <row r="509" spans="14:14" x14ac:dyDescent="0.3">
      <c r="N509" s="9"/>
    </row>
    <row r="510" spans="14:14" x14ac:dyDescent="0.3">
      <c r="N510" s="9"/>
    </row>
    <row r="511" spans="14:14" x14ac:dyDescent="0.3">
      <c r="N511" s="9"/>
    </row>
    <row r="512" spans="14:14" x14ac:dyDescent="0.3">
      <c r="N512" s="9"/>
    </row>
    <row r="513" spans="14:14" x14ac:dyDescent="0.3">
      <c r="N513" s="9"/>
    </row>
    <row r="514" spans="14:14" x14ac:dyDescent="0.3">
      <c r="N514" s="9"/>
    </row>
    <row r="515" spans="14:14" x14ac:dyDescent="0.3">
      <c r="N515" s="9"/>
    </row>
    <row r="516" spans="14:14" x14ac:dyDescent="0.3">
      <c r="N516" s="9"/>
    </row>
    <row r="517" spans="14:14" x14ac:dyDescent="0.3">
      <c r="N517" s="9"/>
    </row>
    <row r="518" spans="14:14" x14ac:dyDescent="0.3">
      <c r="N518" s="9"/>
    </row>
    <row r="519" spans="14:14" x14ac:dyDescent="0.3">
      <c r="N519" s="9"/>
    </row>
    <row r="520" spans="14:14" x14ac:dyDescent="0.3">
      <c r="N520" s="9"/>
    </row>
    <row r="521" spans="14:14" x14ac:dyDescent="0.3">
      <c r="N521" s="9"/>
    </row>
    <row r="522" spans="14:14" x14ac:dyDescent="0.3">
      <c r="N522" s="9"/>
    </row>
    <row r="523" spans="14:14" x14ac:dyDescent="0.3">
      <c r="N523" s="9"/>
    </row>
    <row r="524" spans="14:14" x14ac:dyDescent="0.3">
      <c r="N524" s="9"/>
    </row>
    <row r="525" spans="14:14" x14ac:dyDescent="0.3">
      <c r="N525" s="9"/>
    </row>
    <row r="526" spans="14:14" x14ac:dyDescent="0.3">
      <c r="N526" s="9"/>
    </row>
    <row r="527" spans="14:14" x14ac:dyDescent="0.3">
      <c r="N527" s="9"/>
    </row>
    <row r="528" spans="14:14" x14ac:dyDescent="0.3">
      <c r="N528" s="9"/>
    </row>
    <row r="529" spans="14:14" x14ac:dyDescent="0.3">
      <c r="N529" s="9"/>
    </row>
    <row r="530" spans="14:14" x14ac:dyDescent="0.3">
      <c r="N530" s="9"/>
    </row>
    <row r="531" spans="14:14" x14ac:dyDescent="0.3">
      <c r="N531" s="9"/>
    </row>
    <row r="532" spans="14:14" x14ac:dyDescent="0.3">
      <c r="N532" s="9"/>
    </row>
    <row r="533" spans="14:14" x14ac:dyDescent="0.3">
      <c r="N533" s="9"/>
    </row>
    <row r="534" spans="14:14" x14ac:dyDescent="0.3">
      <c r="N534" s="9"/>
    </row>
    <row r="535" spans="14:14" x14ac:dyDescent="0.3">
      <c r="N535" s="9"/>
    </row>
    <row r="536" spans="14:14" x14ac:dyDescent="0.3">
      <c r="N536" s="9"/>
    </row>
    <row r="537" spans="14:14" x14ac:dyDescent="0.3">
      <c r="N537" s="9"/>
    </row>
    <row r="538" spans="14:14" x14ac:dyDescent="0.3">
      <c r="N538" s="9"/>
    </row>
    <row r="539" spans="14:14" x14ac:dyDescent="0.3">
      <c r="N539" s="9"/>
    </row>
    <row r="540" spans="14:14" x14ac:dyDescent="0.3">
      <c r="N540" s="9"/>
    </row>
    <row r="541" spans="14:14" x14ac:dyDescent="0.3">
      <c r="N541" s="9"/>
    </row>
    <row r="542" spans="14:14" x14ac:dyDescent="0.3">
      <c r="N542" s="9"/>
    </row>
    <row r="543" spans="14:14" x14ac:dyDescent="0.3">
      <c r="N543" s="9"/>
    </row>
    <row r="544" spans="14:14" x14ac:dyDescent="0.3">
      <c r="N544" s="9"/>
    </row>
    <row r="545" spans="14:14" x14ac:dyDescent="0.3">
      <c r="N545" s="9"/>
    </row>
    <row r="546" spans="14:14" x14ac:dyDescent="0.3">
      <c r="N546" s="9"/>
    </row>
    <row r="547" spans="14:14" x14ac:dyDescent="0.3">
      <c r="N547" s="9"/>
    </row>
    <row r="548" spans="14:14" x14ac:dyDescent="0.3">
      <c r="N548" s="9"/>
    </row>
    <row r="549" spans="14:14" x14ac:dyDescent="0.3">
      <c r="N549" s="9"/>
    </row>
    <row r="550" spans="14:14" x14ac:dyDescent="0.3">
      <c r="N550" s="9"/>
    </row>
    <row r="551" spans="14:14" x14ac:dyDescent="0.3">
      <c r="N551" s="9"/>
    </row>
    <row r="552" spans="14:14" x14ac:dyDescent="0.3">
      <c r="N552" s="9"/>
    </row>
    <row r="553" spans="14:14" x14ac:dyDescent="0.3">
      <c r="N553" s="9"/>
    </row>
    <row r="554" spans="14:14" x14ac:dyDescent="0.3">
      <c r="N554" s="9"/>
    </row>
    <row r="555" spans="14:14" x14ac:dyDescent="0.3">
      <c r="N555" s="9"/>
    </row>
    <row r="556" spans="14:14" x14ac:dyDescent="0.3">
      <c r="N556" s="9"/>
    </row>
    <row r="557" spans="14:14" x14ac:dyDescent="0.3">
      <c r="N557" s="9"/>
    </row>
    <row r="558" spans="14:14" x14ac:dyDescent="0.3">
      <c r="N558" s="9"/>
    </row>
    <row r="559" spans="14:14" x14ac:dyDescent="0.3">
      <c r="N559" s="9"/>
    </row>
    <row r="560" spans="14:14" x14ac:dyDescent="0.3">
      <c r="N560" s="9"/>
    </row>
    <row r="561" spans="14:14" x14ac:dyDescent="0.3">
      <c r="N561" s="9"/>
    </row>
    <row r="562" spans="14:14" x14ac:dyDescent="0.3">
      <c r="N562" s="9"/>
    </row>
    <row r="563" spans="14:14" x14ac:dyDescent="0.3">
      <c r="N563" s="9"/>
    </row>
    <row r="564" spans="14:14" x14ac:dyDescent="0.3">
      <c r="N564" s="9"/>
    </row>
    <row r="565" spans="14:14" x14ac:dyDescent="0.3">
      <c r="N565" s="9"/>
    </row>
    <row r="566" spans="14:14" x14ac:dyDescent="0.3">
      <c r="N566" s="9"/>
    </row>
    <row r="567" spans="14:14" x14ac:dyDescent="0.3">
      <c r="N567" s="9"/>
    </row>
    <row r="568" spans="14:14" x14ac:dyDescent="0.3">
      <c r="N568" s="9"/>
    </row>
    <row r="569" spans="14:14" x14ac:dyDescent="0.3">
      <c r="N569" s="9"/>
    </row>
    <row r="570" spans="14:14" x14ac:dyDescent="0.3">
      <c r="N570" s="9"/>
    </row>
    <row r="571" spans="14:14" x14ac:dyDescent="0.3">
      <c r="N571" s="9"/>
    </row>
    <row r="572" spans="14:14" x14ac:dyDescent="0.3">
      <c r="N572" s="9"/>
    </row>
    <row r="573" spans="14:14" x14ac:dyDescent="0.3">
      <c r="N573" s="9"/>
    </row>
    <row r="574" spans="14:14" x14ac:dyDescent="0.3">
      <c r="N574" s="9"/>
    </row>
    <row r="575" spans="14:14" x14ac:dyDescent="0.3">
      <c r="N575" s="9"/>
    </row>
    <row r="576" spans="14:14" x14ac:dyDescent="0.3">
      <c r="N576" s="9"/>
    </row>
    <row r="577" spans="14:14" x14ac:dyDescent="0.3">
      <c r="N577" s="9"/>
    </row>
    <row r="578" spans="14:14" x14ac:dyDescent="0.3">
      <c r="N578" s="9"/>
    </row>
    <row r="579" spans="14:14" x14ac:dyDescent="0.3">
      <c r="N579" s="9"/>
    </row>
    <row r="580" spans="14:14" x14ac:dyDescent="0.3">
      <c r="N580" s="9"/>
    </row>
    <row r="581" spans="14:14" x14ac:dyDescent="0.3">
      <c r="N581" s="9"/>
    </row>
    <row r="582" spans="14:14" x14ac:dyDescent="0.3">
      <c r="N582" s="9"/>
    </row>
    <row r="583" spans="14:14" x14ac:dyDescent="0.3">
      <c r="N583" s="9"/>
    </row>
    <row r="584" spans="14:14" x14ac:dyDescent="0.3">
      <c r="N584" s="9"/>
    </row>
    <row r="585" spans="14:14" x14ac:dyDescent="0.3">
      <c r="N585" s="9"/>
    </row>
    <row r="586" spans="14:14" x14ac:dyDescent="0.3">
      <c r="N586" s="9"/>
    </row>
    <row r="587" spans="14:14" x14ac:dyDescent="0.3">
      <c r="N587" s="9"/>
    </row>
    <row r="588" spans="14:14" x14ac:dyDescent="0.3">
      <c r="N588" s="9"/>
    </row>
    <row r="589" spans="14:14" x14ac:dyDescent="0.3">
      <c r="N589" s="9"/>
    </row>
    <row r="590" spans="14:14" x14ac:dyDescent="0.3">
      <c r="N590" s="9"/>
    </row>
    <row r="591" spans="14:14" x14ac:dyDescent="0.3">
      <c r="N591" s="9"/>
    </row>
    <row r="592" spans="14:14" x14ac:dyDescent="0.3">
      <c r="N592" s="9"/>
    </row>
    <row r="593" spans="14:14" x14ac:dyDescent="0.3">
      <c r="N593" s="9"/>
    </row>
    <row r="594" spans="14:14" x14ac:dyDescent="0.3">
      <c r="N594" s="9"/>
    </row>
    <row r="595" spans="14:14" x14ac:dyDescent="0.3">
      <c r="N595" s="9"/>
    </row>
    <row r="596" spans="14:14" x14ac:dyDescent="0.3">
      <c r="N596" s="9"/>
    </row>
    <row r="597" spans="14:14" x14ac:dyDescent="0.3">
      <c r="N597" s="9"/>
    </row>
    <row r="598" spans="14:14" x14ac:dyDescent="0.3">
      <c r="N598" s="9"/>
    </row>
    <row r="599" spans="14:14" x14ac:dyDescent="0.3">
      <c r="N599" s="9"/>
    </row>
    <row r="600" spans="14:14" x14ac:dyDescent="0.3">
      <c r="N600" s="9"/>
    </row>
    <row r="601" spans="14:14" x14ac:dyDescent="0.3">
      <c r="N601" s="9"/>
    </row>
    <row r="602" spans="14:14" x14ac:dyDescent="0.3">
      <c r="N602" s="9"/>
    </row>
    <row r="603" spans="14:14" x14ac:dyDescent="0.3">
      <c r="N603" s="9"/>
    </row>
    <row r="604" spans="14:14" x14ac:dyDescent="0.3">
      <c r="N604" s="9"/>
    </row>
    <row r="605" spans="14:14" x14ac:dyDescent="0.3">
      <c r="N605" s="9"/>
    </row>
    <row r="606" spans="14:14" x14ac:dyDescent="0.3">
      <c r="N606" s="9"/>
    </row>
    <row r="607" spans="14:14" x14ac:dyDescent="0.3">
      <c r="N607" s="9"/>
    </row>
    <row r="608" spans="14:14" x14ac:dyDescent="0.3">
      <c r="N608" s="9"/>
    </row>
    <row r="609" spans="14:14" x14ac:dyDescent="0.3">
      <c r="N609" s="9"/>
    </row>
    <row r="610" spans="14:14" x14ac:dyDescent="0.3">
      <c r="N610" s="9"/>
    </row>
    <row r="611" spans="14:14" x14ac:dyDescent="0.3">
      <c r="N611" s="9"/>
    </row>
    <row r="612" spans="14:14" x14ac:dyDescent="0.3">
      <c r="N612" s="9"/>
    </row>
    <row r="613" spans="14:14" x14ac:dyDescent="0.3">
      <c r="N613" s="9"/>
    </row>
    <row r="614" spans="14:14" x14ac:dyDescent="0.3">
      <c r="N614" s="9"/>
    </row>
    <row r="615" spans="14:14" x14ac:dyDescent="0.3">
      <c r="N615" s="9"/>
    </row>
    <row r="616" spans="14:14" x14ac:dyDescent="0.3">
      <c r="N616" s="9"/>
    </row>
    <row r="617" spans="14:14" x14ac:dyDescent="0.3">
      <c r="N617" s="9"/>
    </row>
    <row r="618" spans="14:14" x14ac:dyDescent="0.3">
      <c r="N618" s="9"/>
    </row>
    <row r="619" spans="14:14" x14ac:dyDescent="0.3">
      <c r="N619" s="9"/>
    </row>
    <row r="620" spans="14:14" x14ac:dyDescent="0.3">
      <c r="N620" s="9"/>
    </row>
    <row r="621" spans="14:14" x14ac:dyDescent="0.3">
      <c r="N621" s="9"/>
    </row>
    <row r="622" spans="14:14" x14ac:dyDescent="0.3">
      <c r="N622" s="9"/>
    </row>
    <row r="623" spans="14:14" x14ac:dyDescent="0.3">
      <c r="N623" s="9"/>
    </row>
    <row r="624" spans="14:14" x14ac:dyDescent="0.3">
      <c r="N624" s="9"/>
    </row>
    <row r="625" spans="14:14" x14ac:dyDescent="0.3">
      <c r="N625" s="9"/>
    </row>
    <row r="626" spans="14:14" x14ac:dyDescent="0.3">
      <c r="N626" s="9"/>
    </row>
    <row r="627" spans="14:14" x14ac:dyDescent="0.3">
      <c r="N627" s="9"/>
    </row>
    <row r="628" spans="14:14" x14ac:dyDescent="0.3">
      <c r="N628" s="9"/>
    </row>
    <row r="629" spans="14:14" x14ac:dyDescent="0.3">
      <c r="N629" s="9"/>
    </row>
    <row r="630" spans="14:14" x14ac:dyDescent="0.3">
      <c r="N630" s="9"/>
    </row>
    <row r="631" spans="14:14" x14ac:dyDescent="0.3">
      <c r="N631" s="9"/>
    </row>
    <row r="632" spans="14:14" x14ac:dyDescent="0.3">
      <c r="N632" s="9"/>
    </row>
    <row r="633" spans="14:14" x14ac:dyDescent="0.3">
      <c r="N633" s="9"/>
    </row>
    <row r="634" spans="14:14" x14ac:dyDescent="0.3">
      <c r="N634" s="9"/>
    </row>
    <row r="635" spans="14:14" x14ac:dyDescent="0.3">
      <c r="N635" s="9"/>
    </row>
    <row r="636" spans="14:14" x14ac:dyDescent="0.3">
      <c r="N636" s="9"/>
    </row>
    <row r="637" spans="14:14" x14ac:dyDescent="0.3">
      <c r="N637" s="9"/>
    </row>
    <row r="638" spans="14:14" x14ac:dyDescent="0.3">
      <c r="N638" s="9"/>
    </row>
    <row r="639" spans="14:14" x14ac:dyDescent="0.3">
      <c r="N639" s="9"/>
    </row>
    <row r="640" spans="14:14" x14ac:dyDescent="0.3">
      <c r="N640" s="9"/>
    </row>
    <row r="641" spans="14:14" x14ac:dyDescent="0.3">
      <c r="N641" s="9"/>
    </row>
    <row r="642" spans="14:14" x14ac:dyDescent="0.3">
      <c r="N642" s="9"/>
    </row>
    <row r="643" spans="14:14" x14ac:dyDescent="0.3">
      <c r="N643" s="9"/>
    </row>
    <row r="644" spans="14:14" x14ac:dyDescent="0.3">
      <c r="N644" s="9"/>
    </row>
    <row r="645" spans="14:14" x14ac:dyDescent="0.3">
      <c r="N645" s="9"/>
    </row>
    <row r="646" spans="14:14" x14ac:dyDescent="0.3">
      <c r="N646" s="9"/>
    </row>
    <row r="647" spans="14:14" x14ac:dyDescent="0.3">
      <c r="N647" s="9"/>
    </row>
    <row r="648" spans="14:14" x14ac:dyDescent="0.3">
      <c r="N648" s="9"/>
    </row>
    <row r="649" spans="14:14" x14ac:dyDescent="0.3">
      <c r="N649" s="9"/>
    </row>
    <row r="650" spans="14:14" x14ac:dyDescent="0.3">
      <c r="N650" s="9"/>
    </row>
    <row r="651" spans="14:14" x14ac:dyDescent="0.3">
      <c r="N651" s="9"/>
    </row>
    <row r="652" spans="14:14" x14ac:dyDescent="0.3">
      <c r="N652" s="9"/>
    </row>
    <row r="653" spans="14:14" x14ac:dyDescent="0.3">
      <c r="N653" s="9"/>
    </row>
    <row r="654" spans="14:14" x14ac:dyDescent="0.3">
      <c r="N654" s="9"/>
    </row>
    <row r="655" spans="14:14" x14ac:dyDescent="0.3">
      <c r="N655" s="9"/>
    </row>
    <row r="656" spans="14:14" x14ac:dyDescent="0.3">
      <c r="N656" s="9"/>
    </row>
    <row r="657" spans="14:14" x14ac:dyDescent="0.3">
      <c r="N657" s="9"/>
    </row>
    <row r="658" spans="14:14" x14ac:dyDescent="0.3">
      <c r="N658" s="9"/>
    </row>
    <row r="659" spans="14:14" x14ac:dyDescent="0.3">
      <c r="N659" s="9"/>
    </row>
    <row r="660" spans="14:14" x14ac:dyDescent="0.3">
      <c r="N660" s="9"/>
    </row>
    <row r="661" spans="14:14" x14ac:dyDescent="0.3">
      <c r="N661" s="9"/>
    </row>
    <row r="662" spans="14:14" x14ac:dyDescent="0.3">
      <c r="N662" s="9"/>
    </row>
    <row r="663" spans="14:14" x14ac:dyDescent="0.3">
      <c r="N663" s="9"/>
    </row>
    <row r="664" spans="14:14" x14ac:dyDescent="0.3">
      <c r="N664" s="9"/>
    </row>
    <row r="665" spans="14:14" x14ac:dyDescent="0.3">
      <c r="N665" s="9"/>
    </row>
    <row r="666" spans="14:14" x14ac:dyDescent="0.3">
      <c r="N666" s="9"/>
    </row>
    <row r="667" spans="14:14" x14ac:dyDescent="0.3">
      <c r="N667" s="9"/>
    </row>
    <row r="668" spans="14:14" x14ac:dyDescent="0.3">
      <c r="N668" s="9"/>
    </row>
    <row r="669" spans="14:14" x14ac:dyDescent="0.3">
      <c r="N669" s="9"/>
    </row>
    <row r="670" spans="14:14" x14ac:dyDescent="0.3">
      <c r="N670" s="9"/>
    </row>
    <row r="671" spans="14:14" x14ac:dyDescent="0.3">
      <c r="N671" s="9"/>
    </row>
    <row r="672" spans="14:14" x14ac:dyDescent="0.3">
      <c r="N672" s="9"/>
    </row>
    <row r="673" spans="14:14" x14ac:dyDescent="0.3">
      <c r="N673" s="9"/>
    </row>
    <row r="674" spans="14:14" x14ac:dyDescent="0.3">
      <c r="N674" s="9"/>
    </row>
    <row r="675" spans="14:14" x14ac:dyDescent="0.3">
      <c r="N675" s="9"/>
    </row>
    <row r="676" spans="14:14" x14ac:dyDescent="0.3">
      <c r="N676" s="9"/>
    </row>
    <row r="677" spans="14:14" x14ac:dyDescent="0.3">
      <c r="N677" s="9"/>
    </row>
    <row r="678" spans="14:14" x14ac:dyDescent="0.3">
      <c r="N678" s="9"/>
    </row>
    <row r="679" spans="14:14" x14ac:dyDescent="0.3">
      <c r="N679" s="9"/>
    </row>
    <row r="680" spans="14:14" x14ac:dyDescent="0.3">
      <c r="N680" s="9"/>
    </row>
    <row r="681" spans="14:14" x14ac:dyDescent="0.3">
      <c r="N681" s="9"/>
    </row>
    <row r="682" spans="14:14" x14ac:dyDescent="0.3">
      <c r="N682" s="9"/>
    </row>
    <row r="683" spans="14:14" x14ac:dyDescent="0.3">
      <c r="N683" s="9"/>
    </row>
    <row r="684" spans="14:14" x14ac:dyDescent="0.3">
      <c r="N684" s="9"/>
    </row>
    <row r="685" spans="14:14" x14ac:dyDescent="0.3">
      <c r="N685" s="9"/>
    </row>
    <row r="686" spans="14:14" x14ac:dyDescent="0.3">
      <c r="N686" s="9"/>
    </row>
    <row r="687" spans="14:14" x14ac:dyDescent="0.3">
      <c r="N687" s="9"/>
    </row>
    <row r="688" spans="14:14" x14ac:dyDescent="0.3">
      <c r="N688" s="9"/>
    </row>
    <row r="689" spans="14:14" x14ac:dyDescent="0.3">
      <c r="N689" s="9"/>
    </row>
    <row r="690" spans="14:14" x14ac:dyDescent="0.3">
      <c r="N690" s="9"/>
    </row>
    <row r="691" spans="14:14" x14ac:dyDescent="0.3">
      <c r="N691" s="9"/>
    </row>
    <row r="692" spans="14:14" x14ac:dyDescent="0.3">
      <c r="N692" s="9"/>
    </row>
    <row r="693" spans="14:14" x14ac:dyDescent="0.3">
      <c r="N693" s="9"/>
    </row>
    <row r="694" spans="14:14" x14ac:dyDescent="0.3">
      <c r="N694" s="9"/>
    </row>
    <row r="695" spans="14:14" x14ac:dyDescent="0.3">
      <c r="N695" s="9"/>
    </row>
    <row r="696" spans="14:14" x14ac:dyDescent="0.3">
      <c r="N696" s="9"/>
    </row>
    <row r="697" spans="14:14" x14ac:dyDescent="0.3">
      <c r="N697" s="9"/>
    </row>
    <row r="698" spans="14:14" x14ac:dyDescent="0.3">
      <c r="N698" s="9"/>
    </row>
    <row r="699" spans="14:14" x14ac:dyDescent="0.3">
      <c r="N699" s="9"/>
    </row>
    <row r="700" spans="14:14" x14ac:dyDescent="0.3">
      <c r="N700" s="9"/>
    </row>
    <row r="701" spans="14:14" x14ac:dyDescent="0.3">
      <c r="N701" s="9"/>
    </row>
    <row r="702" spans="14:14" x14ac:dyDescent="0.3">
      <c r="N702" s="9"/>
    </row>
    <row r="703" spans="14:14" x14ac:dyDescent="0.3">
      <c r="N703" s="9"/>
    </row>
    <row r="704" spans="14:14" x14ac:dyDescent="0.3">
      <c r="N704" s="9"/>
    </row>
    <row r="705" spans="14:14" x14ac:dyDescent="0.3">
      <c r="N705" s="9"/>
    </row>
    <row r="706" spans="14:14" x14ac:dyDescent="0.3">
      <c r="N706" s="9"/>
    </row>
    <row r="707" spans="14:14" x14ac:dyDescent="0.3">
      <c r="N707" s="9"/>
    </row>
    <row r="708" spans="14:14" x14ac:dyDescent="0.3">
      <c r="N708" s="9"/>
    </row>
    <row r="709" spans="14:14" x14ac:dyDescent="0.3">
      <c r="N709" s="9"/>
    </row>
    <row r="710" spans="14:14" x14ac:dyDescent="0.3">
      <c r="N710" s="9"/>
    </row>
    <row r="711" spans="14:14" x14ac:dyDescent="0.3">
      <c r="N711" s="9"/>
    </row>
    <row r="712" spans="14:14" x14ac:dyDescent="0.3">
      <c r="N712" s="9"/>
    </row>
    <row r="713" spans="14:14" x14ac:dyDescent="0.3">
      <c r="N713" s="9"/>
    </row>
    <row r="714" spans="14:14" x14ac:dyDescent="0.3">
      <c r="N714" s="9"/>
    </row>
    <row r="715" spans="14:14" x14ac:dyDescent="0.3">
      <c r="N715" s="9"/>
    </row>
    <row r="716" spans="14:14" x14ac:dyDescent="0.3">
      <c r="N716" s="9"/>
    </row>
    <row r="717" spans="14:14" x14ac:dyDescent="0.3">
      <c r="N717" s="9"/>
    </row>
    <row r="718" spans="14:14" x14ac:dyDescent="0.3">
      <c r="N718" s="9"/>
    </row>
    <row r="719" spans="14:14" x14ac:dyDescent="0.3">
      <c r="N719" s="9"/>
    </row>
    <row r="720" spans="14:14" x14ac:dyDescent="0.3">
      <c r="N720" s="9"/>
    </row>
    <row r="721" spans="14:14" x14ac:dyDescent="0.3">
      <c r="N721" s="9"/>
    </row>
    <row r="722" spans="14:14" x14ac:dyDescent="0.3">
      <c r="N722" s="9"/>
    </row>
    <row r="723" spans="14:14" x14ac:dyDescent="0.3">
      <c r="N723" s="9"/>
    </row>
    <row r="724" spans="14:14" x14ac:dyDescent="0.3">
      <c r="N724" s="9"/>
    </row>
    <row r="725" spans="14:14" x14ac:dyDescent="0.3">
      <c r="N725" s="9"/>
    </row>
    <row r="726" spans="14:14" x14ac:dyDescent="0.3">
      <c r="N726" s="9"/>
    </row>
    <row r="727" spans="14:14" x14ac:dyDescent="0.3">
      <c r="N727" s="9"/>
    </row>
    <row r="728" spans="14:14" x14ac:dyDescent="0.3">
      <c r="N728" s="9"/>
    </row>
    <row r="729" spans="14:14" x14ac:dyDescent="0.3">
      <c r="N729" s="9"/>
    </row>
    <row r="730" spans="14:14" x14ac:dyDescent="0.3">
      <c r="N730" s="9"/>
    </row>
    <row r="731" spans="14:14" x14ac:dyDescent="0.3">
      <c r="N731" s="9"/>
    </row>
    <row r="732" spans="14:14" x14ac:dyDescent="0.3">
      <c r="N732" s="9"/>
    </row>
    <row r="733" spans="14:14" x14ac:dyDescent="0.3">
      <c r="N733" s="9"/>
    </row>
    <row r="734" spans="14:14" x14ac:dyDescent="0.3">
      <c r="N734" s="9"/>
    </row>
    <row r="735" spans="14:14" x14ac:dyDescent="0.3">
      <c r="N735" s="9"/>
    </row>
    <row r="736" spans="14:14" x14ac:dyDescent="0.3">
      <c r="N736" s="9"/>
    </row>
    <row r="737" spans="14:14" x14ac:dyDescent="0.3">
      <c r="N737" s="9"/>
    </row>
    <row r="738" spans="14:14" x14ac:dyDescent="0.3">
      <c r="N738" s="9"/>
    </row>
    <row r="739" spans="14:14" x14ac:dyDescent="0.3">
      <c r="N739" s="9"/>
    </row>
    <row r="740" spans="14:14" x14ac:dyDescent="0.3">
      <c r="N740" s="9"/>
    </row>
    <row r="741" spans="14:14" x14ac:dyDescent="0.3">
      <c r="N741" s="9"/>
    </row>
    <row r="742" spans="14:14" x14ac:dyDescent="0.3">
      <c r="N742" s="9"/>
    </row>
    <row r="743" spans="14:14" x14ac:dyDescent="0.3">
      <c r="N743" s="9"/>
    </row>
    <row r="744" spans="14:14" x14ac:dyDescent="0.3">
      <c r="N744" s="9"/>
    </row>
    <row r="745" spans="14:14" x14ac:dyDescent="0.3">
      <c r="N745" s="9"/>
    </row>
    <row r="746" spans="14:14" x14ac:dyDescent="0.3">
      <c r="N746" s="9"/>
    </row>
    <row r="747" spans="14:14" x14ac:dyDescent="0.3">
      <c r="N747" s="9"/>
    </row>
    <row r="748" spans="14:14" x14ac:dyDescent="0.3">
      <c r="N748" s="9"/>
    </row>
    <row r="749" spans="14:14" x14ac:dyDescent="0.3">
      <c r="N749" s="9"/>
    </row>
    <row r="750" spans="14:14" x14ac:dyDescent="0.3">
      <c r="N750" s="9"/>
    </row>
    <row r="751" spans="14:14" x14ac:dyDescent="0.3">
      <c r="N751" s="9"/>
    </row>
    <row r="752" spans="14:14" x14ac:dyDescent="0.3">
      <c r="N752" s="9"/>
    </row>
    <row r="753" spans="14:14" x14ac:dyDescent="0.3">
      <c r="N753" s="9"/>
    </row>
    <row r="754" spans="14:14" x14ac:dyDescent="0.3">
      <c r="N754" s="9"/>
    </row>
    <row r="755" spans="14:14" x14ac:dyDescent="0.3">
      <c r="N755" s="9"/>
    </row>
    <row r="756" spans="14:14" x14ac:dyDescent="0.3">
      <c r="N756" s="9"/>
    </row>
    <row r="757" spans="14:14" x14ac:dyDescent="0.3">
      <c r="N757" s="9"/>
    </row>
    <row r="758" spans="14:14" x14ac:dyDescent="0.3">
      <c r="N758" s="9"/>
    </row>
    <row r="759" spans="14:14" x14ac:dyDescent="0.3">
      <c r="N759" s="9"/>
    </row>
    <row r="760" spans="14:14" x14ac:dyDescent="0.3">
      <c r="N760" s="9"/>
    </row>
    <row r="761" spans="14:14" x14ac:dyDescent="0.3">
      <c r="N761" s="9"/>
    </row>
    <row r="762" spans="14:14" x14ac:dyDescent="0.3">
      <c r="N762" s="9"/>
    </row>
    <row r="763" spans="14:14" x14ac:dyDescent="0.3">
      <c r="N763" s="9"/>
    </row>
    <row r="764" spans="14:14" x14ac:dyDescent="0.3">
      <c r="N764" s="9"/>
    </row>
    <row r="765" spans="14:14" x14ac:dyDescent="0.3">
      <c r="N765" s="9"/>
    </row>
    <row r="766" spans="14:14" x14ac:dyDescent="0.3">
      <c r="N766" s="9"/>
    </row>
    <row r="767" spans="14:14" x14ac:dyDescent="0.3">
      <c r="N767" s="9"/>
    </row>
    <row r="768" spans="14:14" x14ac:dyDescent="0.3">
      <c r="N768" s="9"/>
    </row>
    <row r="769" spans="14:14" x14ac:dyDescent="0.3">
      <c r="N769" s="9"/>
    </row>
    <row r="770" spans="14:14" x14ac:dyDescent="0.3">
      <c r="N770" s="9"/>
    </row>
    <row r="771" spans="14:14" x14ac:dyDescent="0.3">
      <c r="N771" s="9"/>
    </row>
    <row r="772" spans="14:14" x14ac:dyDescent="0.3">
      <c r="N772" s="9"/>
    </row>
    <row r="773" spans="14:14" x14ac:dyDescent="0.3">
      <c r="N773" s="9"/>
    </row>
    <row r="774" spans="14:14" x14ac:dyDescent="0.3">
      <c r="N774" s="9"/>
    </row>
    <row r="775" spans="14:14" x14ac:dyDescent="0.3">
      <c r="N775" s="9"/>
    </row>
    <row r="776" spans="14:14" x14ac:dyDescent="0.3">
      <c r="N776" s="9"/>
    </row>
    <row r="777" spans="14:14" x14ac:dyDescent="0.3">
      <c r="N777" s="9"/>
    </row>
    <row r="778" spans="14:14" x14ac:dyDescent="0.3">
      <c r="N778" s="9"/>
    </row>
    <row r="779" spans="14:14" x14ac:dyDescent="0.3">
      <c r="N779" s="9"/>
    </row>
    <row r="780" spans="14:14" x14ac:dyDescent="0.3">
      <c r="N780" s="9"/>
    </row>
    <row r="781" spans="14:14" x14ac:dyDescent="0.3">
      <c r="N781" s="9"/>
    </row>
    <row r="782" spans="14:14" x14ac:dyDescent="0.3">
      <c r="N782" s="9"/>
    </row>
    <row r="783" spans="14:14" x14ac:dyDescent="0.3">
      <c r="N783" s="9"/>
    </row>
    <row r="784" spans="14:14" x14ac:dyDescent="0.3">
      <c r="N784" s="9"/>
    </row>
    <row r="785" spans="14:14" x14ac:dyDescent="0.3">
      <c r="N785" s="9"/>
    </row>
    <row r="786" spans="14:14" x14ac:dyDescent="0.3">
      <c r="N786" s="9"/>
    </row>
    <row r="787" spans="14:14" x14ac:dyDescent="0.3">
      <c r="N787" s="9"/>
    </row>
    <row r="788" spans="14:14" x14ac:dyDescent="0.3">
      <c r="N788" s="9"/>
    </row>
    <row r="789" spans="14:14" x14ac:dyDescent="0.3">
      <c r="N789" s="9"/>
    </row>
    <row r="790" spans="14:14" x14ac:dyDescent="0.3">
      <c r="N790" s="9"/>
    </row>
    <row r="791" spans="14:14" x14ac:dyDescent="0.3">
      <c r="N791" s="9"/>
    </row>
    <row r="792" spans="14:14" x14ac:dyDescent="0.3">
      <c r="N792" s="9"/>
    </row>
    <row r="793" spans="14:14" x14ac:dyDescent="0.3">
      <c r="N793" s="9"/>
    </row>
    <row r="794" spans="14:14" x14ac:dyDescent="0.3">
      <c r="N794" s="9"/>
    </row>
    <row r="795" spans="14:14" x14ac:dyDescent="0.3">
      <c r="N795" s="9"/>
    </row>
    <row r="796" spans="14:14" x14ac:dyDescent="0.3">
      <c r="N796" s="9"/>
    </row>
    <row r="797" spans="14:14" x14ac:dyDescent="0.3">
      <c r="N797" s="9"/>
    </row>
    <row r="798" spans="14:14" x14ac:dyDescent="0.3">
      <c r="N798" s="9"/>
    </row>
    <row r="799" spans="14:14" x14ac:dyDescent="0.3">
      <c r="N799" s="9"/>
    </row>
    <row r="800" spans="14:14" x14ac:dyDescent="0.3">
      <c r="N800" s="9"/>
    </row>
    <row r="801" spans="14:14" x14ac:dyDescent="0.3">
      <c r="N801" s="9"/>
    </row>
    <row r="802" spans="14:14" x14ac:dyDescent="0.3">
      <c r="N802" s="9"/>
    </row>
    <row r="803" spans="14:14" x14ac:dyDescent="0.3">
      <c r="N803" s="9"/>
    </row>
    <row r="804" spans="14:14" x14ac:dyDescent="0.3">
      <c r="N804" s="9"/>
    </row>
    <row r="805" spans="14:14" x14ac:dyDescent="0.3">
      <c r="N805" s="9"/>
    </row>
    <row r="806" spans="14:14" x14ac:dyDescent="0.3">
      <c r="N806" s="9"/>
    </row>
    <row r="807" spans="14:14" x14ac:dyDescent="0.3">
      <c r="N807" s="9"/>
    </row>
    <row r="808" spans="14:14" x14ac:dyDescent="0.3">
      <c r="N808" s="9"/>
    </row>
    <row r="809" spans="14:14" x14ac:dyDescent="0.3">
      <c r="N809" s="9"/>
    </row>
    <row r="810" spans="14:14" x14ac:dyDescent="0.3">
      <c r="N810" s="9"/>
    </row>
    <row r="811" spans="14:14" x14ac:dyDescent="0.3">
      <c r="N811" s="9"/>
    </row>
    <row r="812" spans="14:14" x14ac:dyDescent="0.3">
      <c r="N812" s="9"/>
    </row>
    <row r="813" spans="14:14" x14ac:dyDescent="0.3">
      <c r="N813" s="9"/>
    </row>
    <row r="814" spans="14:14" x14ac:dyDescent="0.3">
      <c r="N814" s="9"/>
    </row>
    <row r="815" spans="14:14" x14ac:dyDescent="0.3">
      <c r="N815" s="9"/>
    </row>
    <row r="816" spans="14:14" x14ac:dyDescent="0.3">
      <c r="N816" s="9"/>
    </row>
    <row r="817" spans="14:14" x14ac:dyDescent="0.3">
      <c r="N817" s="9"/>
    </row>
    <row r="818" spans="14:14" x14ac:dyDescent="0.3">
      <c r="N818" s="9"/>
    </row>
    <row r="819" spans="14:14" x14ac:dyDescent="0.3">
      <c r="N819" s="9"/>
    </row>
    <row r="820" spans="14:14" x14ac:dyDescent="0.3">
      <c r="N820" s="9"/>
    </row>
    <row r="821" spans="14:14" x14ac:dyDescent="0.3">
      <c r="N821" s="9"/>
    </row>
    <row r="822" spans="14:14" x14ac:dyDescent="0.3">
      <c r="N822" s="9"/>
    </row>
    <row r="823" spans="14:14" x14ac:dyDescent="0.3">
      <c r="N823" s="9"/>
    </row>
    <row r="824" spans="14:14" x14ac:dyDescent="0.3">
      <c r="N824" s="9"/>
    </row>
    <row r="825" spans="14:14" x14ac:dyDescent="0.3">
      <c r="N825" s="9"/>
    </row>
    <row r="826" spans="14:14" x14ac:dyDescent="0.3">
      <c r="N826" s="9"/>
    </row>
    <row r="827" spans="14:14" x14ac:dyDescent="0.3">
      <c r="N827" s="9"/>
    </row>
    <row r="828" spans="14:14" x14ac:dyDescent="0.3">
      <c r="N828" s="9"/>
    </row>
    <row r="829" spans="14:14" x14ac:dyDescent="0.3">
      <c r="N829" s="9"/>
    </row>
    <row r="830" spans="14:14" x14ac:dyDescent="0.3">
      <c r="N830" s="9"/>
    </row>
    <row r="831" spans="14:14" x14ac:dyDescent="0.3">
      <c r="N831" s="9"/>
    </row>
    <row r="832" spans="14:14" x14ac:dyDescent="0.3">
      <c r="N832" s="9"/>
    </row>
    <row r="833" spans="14:14" x14ac:dyDescent="0.3">
      <c r="N833" s="9"/>
    </row>
    <row r="834" spans="14:14" x14ac:dyDescent="0.3">
      <c r="N834" s="9"/>
    </row>
    <row r="835" spans="14:14" x14ac:dyDescent="0.3">
      <c r="N835" s="9"/>
    </row>
    <row r="836" spans="14:14" x14ac:dyDescent="0.3">
      <c r="N836" s="9"/>
    </row>
    <row r="837" spans="14:14" x14ac:dyDescent="0.3">
      <c r="N837" s="9"/>
    </row>
    <row r="838" spans="14:14" x14ac:dyDescent="0.3">
      <c r="N838" s="9"/>
    </row>
    <row r="839" spans="14:14" x14ac:dyDescent="0.3">
      <c r="N839" s="9"/>
    </row>
    <row r="840" spans="14:14" x14ac:dyDescent="0.3">
      <c r="N840" s="9"/>
    </row>
    <row r="841" spans="14:14" x14ac:dyDescent="0.3">
      <c r="N841" s="9"/>
    </row>
    <row r="842" spans="14:14" x14ac:dyDescent="0.3">
      <c r="N842" s="9"/>
    </row>
    <row r="843" spans="14:14" x14ac:dyDescent="0.3">
      <c r="N843" s="9"/>
    </row>
    <row r="844" spans="14:14" x14ac:dyDescent="0.3">
      <c r="N844" s="9"/>
    </row>
    <row r="845" spans="14:14" x14ac:dyDescent="0.3">
      <c r="N845" s="9"/>
    </row>
    <row r="846" spans="14:14" x14ac:dyDescent="0.3">
      <c r="N846" s="9"/>
    </row>
    <row r="847" spans="14:14" x14ac:dyDescent="0.3">
      <c r="N847" s="9"/>
    </row>
    <row r="848" spans="14:14" x14ac:dyDescent="0.3">
      <c r="N848" s="9"/>
    </row>
    <row r="849" spans="14:14" x14ac:dyDescent="0.3">
      <c r="N849" s="9"/>
    </row>
    <row r="850" spans="14:14" x14ac:dyDescent="0.3">
      <c r="N850" s="9"/>
    </row>
    <row r="851" spans="14:14" x14ac:dyDescent="0.3">
      <c r="N851" s="9"/>
    </row>
    <row r="852" spans="14:14" x14ac:dyDescent="0.3">
      <c r="N852" s="9"/>
    </row>
    <row r="853" spans="14:14" x14ac:dyDescent="0.3">
      <c r="N853" s="9"/>
    </row>
    <row r="854" spans="14:14" x14ac:dyDescent="0.3">
      <c r="N854" s="9"/>
    </row>
    <row r="855" spans="14:14" x14ac:dyDescent="0.3">
      <c r="N855" s="9"/>
    </row>
    <row r="856" spans="14:14" x14ac:dyDescent="0.3">
      <c r="N856" s="9"/>
    </row>
    <row r="857" spans="14:14" x14ac:dyDescent="0.3">
      <c r="N857" s="9"/>
    </row>
    <row r="858" spans="14:14" x14ac:dyDescent="0.3">
      <c r="N858" s="9"/>
    </row>
    <row r="859" spans="14:14" x14ac:dyDescent="0.3">
      <c r="N859" s="9"/>
    </row>
    <row r="860" spans="14:14" x14ac:dyDescent="0.3">
      <c r="N860" s="9"/>
    </row>
    <row r="861" spans="14:14" x14ac:dyDescent="0.3">
      <c r="N861" s="9"/>
    </row>
    <row r="862" spans="14:14" x14ac:dyDescent="0.3">
      <c r="N862" s="9"/>
    </row>
    <row r="863" spans="14:14" x14ac:dyDescent="0.3">
      <c r="N863" s="9"/>
    </row>
    <row r="864" spans="14:14" x14ac:dyDescent="0.3">
      <c r="N864" s="9"/>
    </row>
    <row r="865" spans="14:14" x14ac:dyDescent="0.3">
      <c r="N865" s="9"/>
    </row>
    <row r="866" spans="14:14" x14ac:dyDescent="0.3">
      <c r="N866" s="9"/>
    </row>
    <row r="867" spans="14:14" x14ac:dyDescent="0.3">
      <c r="N867" s="9"/>
    </row>
    <row r="868" spans="14:14" x14ac:dyDescent="0.3">
      <c r="N868" s="9"/>
    </row>
    <row r="869" spans="14:14" x14ac:dyDescent="0.3">
      <c r="N869" s="9"/>
    </row>
    <row r="870" spans="14:14" x14ac:dyDescent="0.3">
      <c r="N870" s="9"/>
    </row>
    <row r="871" spans="14:14" x14ac:dyDescent="0.3">
      <c r="N871" s="9"/>
    </row>
    <row r="872" spans="14:14" x14ac:dyDescent="0.3">
      <c r="N872" s="9"/>
    </row>
    <row r="873" spans="14:14" x14ac:dyDescent="0.3">
      <c r="N873" s="9"/>
    </row>
    <row r="874" spans="14:14" x14ac:dyDescent="0.3">
      <c r="N874" s="9"/>
    </row>
    <row r="875" spans="14:14" x14ac:dyDescent="0.3">
      <c r="N875" s="9"/>
    </row>
    <row r="876" spans="14:14" x14ac:dyDescent="0.3">
      <c r="N876" s="9"/>
    </row>
    <row r="877" spans="14:14" x14ac:dyDescent="0.3">
      <c r="N877" s="9"/>
    </row>
    <row r="878" spans="14:14" x14ac:dyDescent="0.3">
      <c r="N878" s="9"/>
    </row>
    <row r="879" spans="14:14" x14ac:dyDescent="0.3">
      <c r="N879" s="9"/>
    </row>
    <row r="880" spans="14:14" x14ac:dyDescent="0.3">
      <c r="N880" s="9"/>
    </row>
    <row r="881" spans="14:14" x14ac:dyDescent="0.3">
      <c r="N881" s="9"/>
    </row>
    <row r="882" spans="14:14" x14ac:dyDescent="0.3">
      <c r="N882" s="9"/>
    </row>
    <row r="883" spans="14:14" x14ac:dyDescent="0.3">
      <c r="N883" s="9"/>
    </row>
    <row r="884" spans="14:14" x14ac:dyDescent="0.3">
      <c r="N884" s="9"/>
    </row>
    <row r="885" spans="14:14" x14ac:dyDescent="0.3">
      <c r="N885" s="9"/>
    </row>
    <row r="886" spans="14:14" x14ac:dyDescent="0.3">
      <c r="N886" s="9"/>
    </row>
    <row r="887" spans="14:14" x14ac:dyDescent="0.3">
      <c r="N887" s="9"/>
    </row>
    <row r="888" spans="14:14" x14ac:dyDescent="0.3">
      <c r="N888" s="9"/>
    </row>
    <row r="889" spans="14:14" x14ac:dyDescent="0.3">
      <c r="N889" s="9"/>
    </row>
    <row r="890" spans="14:14" x14ac:dyDescent="0.3">
      <c r="N890" s="9"/>
    </row>
    <row r="891" spans="14:14" x14ac:dyDescent="0.3">
      <c r="N891" s="9"/>
    </row>
    <row r="892" spans="14:14" x14ac:dyDescent="0.3">
      <c r="N892" s="9"/>
    </row>
    <row r="893" spans="14:14" x14ac:dyDescent="0.3">
      <c r="N893" s="9"/>
    </row>
    <row r="894" spans="14:14" x14ac:dyDescent="0.3">
      <c r="N894" s="9"/>
    </row>
    <row r="895" spans="14:14" x14ac:dyDescent="0.3">
      <c r="N895" s="9"/>
    </row>
    <row r="896" spans="14:14" x14ac:dyDescent="0.3">
      <c r="N896" s="9"/>
    </row>
    <row r="897" spans="14:14" x14ac:dyDescent="0.3">
      <c r="N897" s="9"/>
    </row>
    <row r="898" spans="14:14" x14ac:dyDescent="0.3">
      <c r="N898" s="9"/>
    </row>
    <row r="899" spans="14:14" x14ac:dyDescent="0.3">
      <c r="N899" s="9"/>
    </row>
    <row r="900" spans="14:14" x14ac:dyDescent="0.3">
      <c r="N900" s="9"/>
    </row>
    <row r="901" spans="14:14" x14ac:dyDescent="0.3">
      <c r="N901" s="9"/>
    </row>
    <row r="902" spans="14:14" x14ac:dyDescent="0.3">
      <c r="N902" s="9"/>
    </row>
    <row r="903" spans="14:14" x14ac:dyDescent="0.3">
      <c r="N903" s="9"/>
    </row>
    <row r="904" spans="14:14" x14ac:dyDescent="0.3">
      <c r="N904" s="9"/>
    </row>
    <row r="905" spans="14:14" x14ac:dyDescent="0.3">
      <c r="N905" s="9"/>
    </row>
    <row r="906" spans="14:14" x14ac:dyDescent="0.3">
      <c r="N906" s="9"/>
    </row>
    <row r="907" spans="14:14" x14ac:dyDescent="0.3">
      <c r="N907" s="9"/>
    </row>
    <row r="908" spans="14:14" x14ac:dyDescent="0.3">
      <c r="N908" s="9"/>
    </row>
    <row r="909" spans="14:14" x14ac:dyDescent="0.3">
      <c r="N909" s="9"/>
    </row>
    <row r="910" spans="14:14" x14ac:dyDescent="0.3">
      <c r="N910" s="9"/>
    </row>
    <row r="911" spans="14:14" x14ac:dyDescent="0.3">
      <c r="N911" s="9"/>
    </row>
    <row r="912" spans="14:14" x14ac:dyDescent="0.3">
      <c r="N912" s="9"/>
    </row>
    <row r="913" spans="14:14" x14ac:dyDescent="0.3">
      <c r="N913" s="9"/>
    </row>
    <row r="914" spans="14:14" x14ac:dyDescent="0.3">
      <c r="N914" s="9"/>
    </row>
    <row r="915" spans="14:14" x14ac:dyDescent="0.3">
      <c r="N915" s="9"/>
    </row>
    <row r="916" spans="14:14" x14ac:dyDescent="0.3">
      <c r="N916" s="9"/>
    </row>
    <row r="917" spans="14:14" x14ac:dyDescent="0.3">
      <c r="N917" s="9"/>
    </row>
    <row r="918" spans="14:14" x14ac:dyDescent="0.3">
      <c r="N918" s="9"/>
    </row>
    <row r="919" spans="14:14" x14ac:dyDescent="0.3">
      <c r="N919" s="9"/>
    </row>
    <row r="920" spans="14:14" x14ac:dyDescent="0.3">
      <c r="N920" s="9"/>
    </row>
    <row r="921" spans="14:14" x14ac:dyDescent="0.3">
      <c r="N921" s="9"/>
    </row>
    <row r="922" spans="14:14" x14ac:dyDescent="0.3">
      <c r="N922" s="9"/>
    </row>
    <row r="923" spans="14:14" x14ac:dyDescent="0.3">
      <c r="N923" s="9"/>
    </row>
    <row r="924" spans="14:14" x14ac:dyDescent="0.3">
      <c r="N924" s="9"/>
    </row>
    <row r="925" spans="14:14" x14ac:dyDescent="0.3">
      <c r="N925" s="9"/>
    </row>
    <row r="926" spans="14:14" x14ac:dyDescent="0.3">
      <c r="N926" s="9"/>
    </row>
    <row r="927" spans="14:14" x14ac:dyDescent="0.3">
      <c r="N927" s="9"/>
    </row>
    <row r="928" spans="14:14" x14ac:dyDescent="0.3">
      <c r="N928" s="9"/>
    </row>
    <row r="929" spans="14:14" x14ac:dyDescent="0.3">
      <c r="N929" s="9"/>
    </row>
    <row r="930" spans="14:14" x14ac:dyDescent="0.3">
      <c r="N930" s="9"/>
    </row>
    <row r="931" spans="14:14" x14ac:dyDescent="0.3">
      <c r="N931" s="9"/>
    </row>
    <row r="932" spans="14:14" x14ac:dyDescent="0.3">
      <c r="N932" s="9"/>
    </row>
    <row r="933" spans="14:14" x14ac:dyDescent="0.3">
      <c r="N933" s="9"/>
    </row>
    <row r="934" spans="14:14" x14ac:dyDescent="0.3">
      <c r="N934" s="9"/>
    </row>
    <row r="935" spans="14:14" x14ac:dyDescent="0.3">
      <c r="N935" s="9"/>
    </row>
    <row r="936" spans="14:14" x14ac:dyDescent="0.3">
      <c r="N936" s="9"/>
    </row>
    <row r="937" spans="14:14" x14ac:dyDescent="0.3">
      <c r="N937" s="9"/>
    </row>
    <row r="938" spans="14:14" x14ac:dyDescent="0.3">
      <c r="N938" s="9"/>
    </row>
    <row r="939" spans="14:14" x14ac:dyDescent="0.3">
      <c r="N939" s="9"/>
    </row>
    <row r="940" spans="14:14" x14ac:dyDescent="0.3">
      <c r="N940" s="9"/>
    </row>
    <row r="941" spans="14:14" x14ac:dyDescent="0.3">
      <c r="N941" s="9"/>
    </row>
    <row r="942" spans="14:14" x14ac:dyDescent="0.3">
      <c r="N942" s="9"/>
    </row>
    <row r="943" spans="14:14" x14ac:dyDescent="0.3">
      <c r="N943" s="9"/>
    </row>
    <row r="944" spans="14:14" x14ac:dyDescent="0.3">
      <c r="N944" s="9"/>
    </row>
    <row r="945" spans="14:14" x14ac:dyDescent="0.3">
      <c r="N945" s="9"/>
    </row>
    <row r="946" spans="14:14" x14ac:dyDescent="0.3">
      <c r="N946" s="9"/>
    </row>
    <row r="947" spans="14:14" x14ac:dyDescent="0.3">
      <c r="N947" s="9"/>
    </row>
    <row r="948" spans="14:14" x14ac:dyDescent="0.3">
      <c r="N948" s="9"/>
    </row>
    <row r="949" spans="14:14" x14ac:dyDescent="0.3">
      <c r="N949" s="9"/>
    </row>
    <row r="950" spans="14:14" x14ac:dyDescent="0.3">
      <c r="N950" s="9"/>
    </row>
    <row r="951" spans="14:14" x14ac:dyDescent="0.3">
      <c r="N951" s="9"/>
    </row>
    <row r="952" spans="14:14" x14ac:dyDescent="0.3">
      <c r="N952" s="9"/>
    </row>
    <row r="953" spans="14:14" x14ac:dyDescent="0.3">
      <c r="N953" s="9"/>
    </row>
    <row r="954" spans="14:14" x14ac:dyDescent="0.3">
      <c r="N954" s="9"/>
    </row>
    <row r="955" spans="14:14" x14ac:dyDescent="0.3">
      <c r="N955" s="9"/>
    </row>
    <row r="956" spans="14:14" x14ac:dyDescent="0.3">
      <c r="N956" s="9"/>
    </row>
    <row r="957" spans="14:14" x14ac:dyDescent="0.3">
      <c r="N957" s="9"/>
    </row>
    <row r="958" spans="14:14" x14ac:dyDescent="0.3">
      <c r="N958" s="9"/>
    </row>
    <row r="959" spans="14:14" x14ac:dyDescent="0.3">
      <c r="N959" s="9"/>
    </row>
    <row r="960" spans="14:14" x14ac:dyDescent="0.3">
      <c r="N960" s="9"/>
    </row>
    <row r="961" spans="14:14" x14ac:dyDescent="0.3">
      <c r="N961" s="9"/>
    </row>
    <row r="962" spans="14:14" x14ac:dyDescent="0.3">
      <c r="N962" s="9"/>
    </row>
    <row r="963" spans="14:14" x14ac:dyDescent="0.3">
      <c r="N963" s="9"/>
    </row>
    <row r="964" spans="14:14" x14ac:dyDescent="0.3">
      <c r="N964" s="9"/>
    </row>
    <row r="965" spans="14:14" x14ac:dyDescent="0.3">
      <c r="N965" s="9"/>
    </row>
  </sheetData>
  <autoFilter ref="A2:AN42" xr:uid="{FCFC6702-828E-4C96-841A-DAF9C826F0CB}"/>
  <mergeCells count="4">
    <mergeCell ref="A40:B40"/>
    <mergeCell ref="H2:H3"/>
    <mergeCell ref="I2:I3"/>
    <mergeCell ref="J2:J3"/>
  </mergeCells>
  <phoneticPr fontId="29" type="noConversion"/>
  <pageMargins left="0.511811024" right="0.511811024" top="0.78740157499999996" bottom="0.78740157499999996" header="0.31496062000000002" footer="0.31496062000000002"/>
  <pageSetup paperSize="9" scale="31" orientation="portrait" r:id="rId1"/>
  <colBreaks count="1" manualBreakCount="1">
    <brk id="17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4542-286F-4B92-9681-D92F956C30C7}">
  <dimension ref="A1:AN969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4" sqref="B34"/>
    </sheetView>
  </sheetViews>
  <sheetFormatPr defaultColWidth="8.6640625" defaultRowHeight="14.4" x14ac:dyDescent="0.3"/>
  <cols>
    <col min="1" max="1" width="39.44140625" customWidth="1"/>
    <col min="2" max="2" width="20.44140625" bestFit="1" customWidth="1"/>
    <col min="3" max="3" width="21.109375" style="253" customWidth="1"/>
    <col min="4" max="4" width="14.6640625" style="253" bestFit="1" customWidth="1"/>
    <col min="5" max="5" width="14.33203125" style="253" bestFit="1" customWidth="1"/>
    <col min="6" max="6" width="32.6640625" style="253" bestFit="1" customWidth="1"/>
    <col min="7" max="7" width="16.77734375" style="251" bestFit="1" customWidth="1"/>
    <col min="8" max="8" width="15" style="251" bestFit="1" customWidth="1"/>
    <col min="9" max="9" width="14.33203125" style="308" customWidth="1"/>
    <col min="10" max="10" width="14.33203125" customWidth="1"/>
    <col min="11" max="11" width="15.88671875" hidden="1" customWidth="1"/>
    <col min="12" max="12" width="12.6640625" hidden="1" customWidth="1"/>
    <col min="13" max="13" width="3" hidden="1" customWidth="1"/>
    <col min="14" max="15" width="25.6640625" hidden="1" customWidth="1"/>
    <col min="16" max="16" width="32.6640625" hidden="1" customWidth="1"/>
    <col min="17" max="17" width="22" hidden="1" customWidth="1"/>
    <col min="18" max="18" width="28.6640625" style="96" hidden="1" customWidth="1"/>
    <col min="19" max="19" width="35.33203125" style="96" hidden="1" customWidth="1"/>
    <col min="20" max="20" width="30.88671875" style="96" hidden="1" customWidth="1"/>
    <col min="21" max="21" width="14.33203125" style="96" hidden="1" customWidth="1"/>
    <col min="22" max="22" width="8.6640625" style="96"/>
    <col min="23" max="23" width="11" style="96" customWidth="1"/>
    <col min="24" max="26" width="8.6640625" style="96"/>
    <col min="27" max="27" width="10.88671875" style="96" customWidth="1"/>
    <col min="28" max="29" width="8.6640625" style="96"/>
    <col min="30" max="30" width="12.33203125" style="96" bestFit="1" customWidth="1"/>
    <col min="33" max="33" width="11.88671875" customWidth="1"/>
  </cols>
  <sheetData>
    <row r="1" spans="1:40" x14ac:dyDescent="0.3">
      <c r="A1" s="30"/>
      <c r="B1" s="30"/>
      <c r="C1" s="252"/>
      <c r="D1" s="252"/>
      <c r="E1" s="252"/>
      <c r="F1" s="252"/>
      <c r="G1" s="353"/>
      <c r="H1" s="252"/>
      <c r="I1" s="292"/>
      <c r="J1" s="30"/>
      <c r="K1" s="30"/>
      <c r="L1" s="30"/>
      <c r="N1" s="12"/>
    </row>
    <row r="2" spans="1:40" s="347" customFormat="1" x14ac:dyDescent="0.3">
      <c r="A2" s="342" t="s">
        <v>30</v>
      </c>
      <c r="B2" s="342" t="s">
        <v>1</v>
      </c>
      <c r="C2" s="343" t="s">
        <v>31</v>
      </c>
      <c r="D2" s="343"/>
      <c r="E2" s="343"/>
      <c r="F2" s="343"/>
      <c r="G2" s="343"/>
      <c r="H2" s="356"/>
      <c r="I2" s="345"/>
      <c r="J2" s="344"/>
      <c r="K2" s="346"/>
      <c r="L2" s="346"/>
      <c r="N2" s="348" t="s">
        <v>107</v>
      </c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</row>
    <row r="3" spans="1:40" s="347" customFormat="1" x14ac:dyDescent="0.3">
      <c r="A3" s="342"/>
      <c r="B3" s="342"/>
      <c r="C3" s="343" t="s">
        <v>286</v>
      </c>
      <c r="D3" s="343" t="s">
        <v>33</v>
      </c>
      <c r="E3" s="343" t="s">
        <v>34</v>
      </c>
      <c r="F3" s="343" t="s">
        <v>229</v>
      </c>
      <c r="G3" s="343" t="s">
        <v>35</v>
      </c>
      <c r="H3" s="343" t="s">
        <v>37</v>
      </c>
      <c r="I3" s="350" t="s">
        <v>224</v>
      </c>
      <c r="J3" s="342" t="s">
        <v>39</v>
      </c>
      <c r="K3" s="351" t="s">
        <v>208</v>
      </c>
      <c r="L3" s="342" t="s">
        <v>78</v>
      </c>
      <c r="N3" s="342" t="s">
        <v>108</v>
      </c>
      <c r="O3" s="342" t="s">
        <v>130</v>
      </c>
      <c r="P3" s="352" t="s">
        <v>132</v>
      </c>
      <c r="Q3" s="352" t="s">
        <v>254</v>
      </c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</row>
    <row r="4" spans="1:40" x14ac:dyDescent="0.3">
      <c r="A4" s="216" t="s">
        <v>15</v>
      </c>
      <c r="B4" s="215" t="s">
        <v>5</v>
      </c>
      <c r="C4" s="267">
        <f>138832.98+1508.13</f>
        <v>140341.11000000002</v>
      </c>
      <c r="D4" s="16">
        <v>104358.68</v>
      </c>
      <c r="E4" s="16"/>
      <c r="F4" s="16"/>
      <c r="G4" s="360">
        <f t="shared" ref="G4:G12" si="0">SUM(C4:E4)</f>
        <v>244699.79</v>
      </c>
      <c r="H4" s="361">
        <f>G4*15%</f>
        <v>36704.968500000003</v>
      </c>
      <c r="I4" s="305">
        <v>0.15</v>
      </c>
      <c r="J4" s="21" t="s">
        <v>290</v>
      </c>
      <c r="K4" s="338">
        <f t="shared" ref="K4:K32" si="1">H4</f>
        <v>36704.968500000003</v>
      </c>
      <c r="L4" s="21"/>
      <c r="M4" t="s">
        <v>127</v>
      </c>
      <c r="N4" s="17">
        <f>'fluxo caixa fev 2026'!N4-'fluxo caixa mar 2026'!G4</f>
        <v>1329142.5399999998</v>
      </c>
      <c r="O4" s="116">
        <f>'fluxo caixa dez 2025'!N5</f>
        <v>0</v>
      </c>
      <c r="P4" s="17"/>
      <c r="Q4" s="25">
        <f t="shared" ref="Q4:Q32" si="2">N4+O4*I4</f>
        <v>1329142.5399999998</v>
      </c>
      <c r="R4" s="165">
        <v>1.00186639200226E+22</v>
      </c>
      <c r="S4" s="166">
        <v>1.00186639200226E+22</v>
      </c>
      <c r="T4" s="165"/>
      <c r="U4" s="138"/>
      <c r="V4" s="138"/>
      <c r="W4" s="138"/>
      <c r="Y4" s="138"/>
      <c r="Z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</row>
    <row r="5" spans="1:40" x14ac:dyDescent="0.3">
      <c r="A5" s="216" t="s">
        <v>3</v>
      </c>
      <c r="B5" s="215" t="s">
        <v>4</v>
      </c>
      <c r="C5" s="22">
        <f>30872.23+14.61</f>
        <v>30886.84</v>
      </c>
      <c r="D5" s="267">
        <f>5861.9+1272.64</f>
        <v>7134.54</v>
      </c>
      <c r="E5" s="22"/>
      <c r="F5" s="22"/>
      <c r="G5" s="360">
        <f t="shared" si="0"/>
        <v>38021.379999999997</v>
      </c>
      <c r="H5" s="361">
        <f>G5*12.5%</f>
        <v>4752.6724999999997</v>
      </c>
      <c r="I5" s="305">
        <v>0.125</v>
      </c>
      <c r="J5" s="21" t="s">
        <v>290</v>
      </c>
      <c r="K5" s="338">
        <f t="shared" si="1"/>
        <v>4752.6724999999997</v>
      </c>
      <c r="L5" s="21"/>
      <c r="M5" s="41"/>
      <c r="N5" s="17">
        <f>'fluxo caixa fev 2026'!N5-'fluxo caixa mar 2026'!G5</f>
        <v>391404.32</v>
      </c>
      <c r="O5" s="116">
        <f>'fluxo caixa dez 2025'!N6</f>
        <v>0</v>
      </c>
      <c r="P5" s="17"/>
      <c r="Q5" s="25">
        <f t="shared" si="2"/>
        <v>391404.32</v>
      </c>
      <c r="R5" s="165"/>
      <c r="S5" s="165"/>
      <c r="T5" s="165"/>
      <c r="U5" s="138"/>
      <c r="V5" s="138"/>
      <c r="W5" s="138"/>
      <c r="Y5" s="143"/>
      <c r="Z5" s="138"/>
      <c r="AA5" s="138"/>
      <c r="AB5" s="143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</row>
    <row r="6" spans="1:40" x14ac:dyDescent="0.3">
      <c r="A6" s="216" t="s">
        <v>40</v>
      </c>
      <c r="B6" s="215" t="s">
        <v>47</v>
      </c>
      <c r="C6" s="22">
        <v>40274.559999999998</v>
      </c>
      <c r="D6" s="22"/>
      <c r="E6" s="22"/>
      <c r="F6" s="22"/>
      <c r="G6" s="360">
        <f t="shared" si="0"/>
        <v>40274.559999999998</v>
      </c>
      <c r="H6" s="361">
        <f>G6*12.5%</f>
        <v>5034.32</v>
      </c>
      <c r="I6" s="305">
        <v>0.125</v>
      </c>
      <c r="J6" s="21" t="s">
        <v>290</v>
      </c>
      <c r="K6" s="338">
        <f t="shared" si="1"/>
        <v>5034.32</v>
      </c>
      <c r="L6" s="21"/>
      <c r="N6" s="17">
        <v>0</v>
      </c>
      <c r="O6" s="116">
        <f>'fluxo caixa fev 2026'!O6-'fluxo caixa mar 2026'!G6</f>
        <v>-278483.61</v>
      </c>
      <c r="P6" s="17"/>
      <c r="Q6" s="25">
        <f t="shared" si="2"/>
        <v>-34810.451249999998</v>
      </c>
      <c r="R6" s="165"/>
      <c r="S6" s="165"/>
      <c r="T6" s="165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</row>
    <row r="7" spans="1:40" x14ac:dyDescent="0.3">
      <c r="A7" s="216" t="s">
        <v>49</v>
      </c>
      <c r="B7" s="215" t="s">
        <v>42</v>
      </c>
      <c r="C7" s="22">
        <f>100631.24</f>
        <v>100631.24</v>
      </c>
      <c r="D7" s="22">
        <f>29104.8+6006.81</f>
        <v>35111.61</v>
      </c>
      <c r="E7" s="22"/>
      <c r="F7" s="22"/>
      <c r="G7" s="360">
        <f t="shared" si="0"/>
        <v>135742.85</v>
      </c>
      <c r="H7" s="361">
        <f>G7*12.5%</f>
        <v>16967.856250000001</v>
      </c>
      <c r="I7" s="305">
        <v>0.125</v>
      </c>
      <c r="J7" s="21" t="s">
        <v>290</v>
      </c>
      <c r="K7" s="338">
        <f t="shared" si="1"/>
        <v>16967.856250000001</v>
      </c>
      <c r="L7" s="21"/>
      <c r="N7" s="17">
        <f>'fluxo caixa fev 2026'!N7-'fluxo caixa mar 2026'!G7</f>
        <v>363516.97999999986</v>
      </c>
      <c r="O7" s="116">
        <v>0</v>
      </c>
      <c r="P7" s="17"/>
      <c r="Q7" s="25">
        <f t="shared" si="2"/>
        <v>363516.97999999986</v>
      </c>
      <c r="R7" s="165"/>
      <c r="S7" s="165"/>
      <c r="T7" s="165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</row>
    <row r="8" spans="1:40" x14ac:dyDescent="0.3">
      <c r="A8" s="218" t="s">
        <v>53</v>
      </c>
      <c r="B8" s="215" t="s">
        <v>6</v>
      </c>
      <c r="C8" s="22">
        <f>71968.73+17726.56+11+337.55</f>
        <v>90043.839999999997</v>
      </c>
      <c r="D8" s="22">
        <f>30980.09+6725.08</f>
        <v>37705.17</v>
      </c>
      <c r="E8" s="22"/>
      <c r="F8" s="22"/>
      <c r="G8" s="360">
        <f t="shared" si="0"/>
        <v>127749.01</v>
      </c>
      <c r="H8" s="361">
        <f>G8*15%-1475.88</f>
        <v>17686.471499999996</v>
      </c>
      <c r="I8" s="305">
        <v>0.15</v>
      </c>
      <c r="J8" s="21" t="s">
        <v>290</v>
      </c>
      <c r="K8" s="338">
        <f t="shared" si="1"/>
        <v>17686.471499999996</v>
      </c>
      <c r="L8" s="21"/>
      <c r="N8" s="17">
        <f>'fluxo caixa fev 2026'!N8-'fluxo caixa mar 2026'!G8</f>
        <v>2135421.0700000003</v>
      </c>
      <c r="O8" s="116">
        <f>Controle!J13</f>
        <v>1047001.63</v>
      </c>
      <c r="P8" s="17"/>
      <c r="Q8" s="25">
        <f t="shared" si="2"/>
        <v>2292471.3145000003</v>
      </c>
      <c r="R8" s="165"/>
      <c r="S8" s="165"/>
      <c r="T8" s="165"/>
      <c r="U8" s="138"/>
      <c r="V8" s="138"/>
      <c r="W8" s="138"/>
      <c r="Y8" s="143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</row>
    <row r="9" spans="1:40" x14ac:dyDescent="0.3">
      <c r="A9" s="216" t="s">
        <v>74</v>
      </c>
      <c r="B9" s="215" t="s">
        <v>75</v>
      </c>
      <c r="C9" s="22">
        <f>45944.8+11754.39+59.36+316.27</f>
        <v>58074.82</v>
      </c>
      <c r="D9" s="22">
        <f>17451.54+3788.82</f>
        <v>21240.36</v>
      </c>
      <c r="E9" s="22"/>
      <c r="F9" s="22"/>
      <c r="G9" s="360">
        <f t="shared" si="0"/>
        <v>79315.179999999993</v>
      </c>
      <c r="H9" s="361">
        <f>G9*20%</f>
        <v>15863.036</v>
      </c>
      <c r="I9" s="305">
        <v>0.2</v>
      </c>
      <c r="J9" s="21" t="s">
        <v>290</v>
      </c>
      <c r="K9" s="338">
        <f t="shared" si="1"/>
        <v>15863.036</v>
      </c>
      <c r="L9" s="21"/>
      <c r="N9" s="17"/>
      <c r="O9" s="116">
        <f>'fluxo caixa fev 2026'!O9-'fluxo caixa mar 2026'!G9</f>
        <v>-227133.44</v>
      </c>
      <c r="P9" s="17"/>
      <c r="Q9" s="25">
        <f t="shared" si="2"/>
        <v>-45426.688000000002</v>
      </c>
      <c r="R9" s="165"/>
      <c r="S9" s="165"/>
      <c r="T9" s="165"/>
      <c r="U9" s="138"/>
      <c r="V9" s="143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</row>
    <row r="10" spans="1:40" x14ac:dyDescent="0.3">
      <c r="A10" s="216" t="s">
        <v>77</v>
      </c>
      <c r="B10" s="215" t="s">
        <v>76</v>
      </c>
      <c r="C10" s="22">
        <v>26136.44</v>
      </c>
      <c r="D10" s="22"/>
      <c r="E10" s="22"/>
      <c r="F10" s="22"/>
      <c r="G10" s="360">
        <f t="shared" si="0"/>
        <v>26136.44</v>
      </c>
      <c r="H10" s="361">
        <f>G10*20%</f>
        <v>5227.2880000000005</v>
      </c>
      <c r="I10" s="305">
        <v>0.2</v>
      </c>
      <c r="J10" s="21" t="s">
        <v>290</v>
      </c>
      <c r="K10" s="338">
        <f t="shared" si="1"/>
        <v>5227.2880000000005</v>
      </c>
      <c r="L10" s="21"/>
      <c r="N10" s="17"/>
      <c r="O10" s="116">
        <f>'fluxo caixa fev 2026'!O10-'fluxo caixa mar 2026'!G10</f>
        <v>-291335.90999999997</v>
      </c>
      <c r="P10" s="17"/>
      <c r="Q10" s="25">
        <f t="shared" si="2"/>
        <v>-58267.182000000001</v>
      </c>
      <c r="R10" s="165"/>
      <c r="S10" s="165"/>
      <c r="T10" s="165"/>
      <c r="U10" s="138"/>
      <c r="V10" s="138"/>
      <c r="W10" s="138"/>
      <c r="X10" s="138"/>
      <c r="Y10" s="138"/>
      <c r="AA10" s="138"/>
      <c r="AB10" s="138"/>
      <c r="AD10" s="138"/>
      <c r="AE10" s="138"/>
      <c r="AF10" s="138"/>
      <c r="AG10" s="138"/>
      <c r="AH10" s="138"/>
      <c r="AI10" s="138"/>
      <c r="AJ10" s="138"/>
      <c r="AK10" s="138"/>
      <c r="AM10" s="138"/>
      <c r="AN10" s="138"/>
    </row>
    <row r="11" spans="1:40" x14ac:dyDescent="0.3">
      <c r="A11" s="216" t="s">
        <v>287</v>
      </c>
      <c r="B11" s="215" t="s">
        <v>60</v>
      </c>
      <c r="C11" s="22"/>
      <c r="D11" s="22"/>
      <c r="E11" s="22"/>
      <c r="F11" s="22"/>
      <c r="G11" s="360">
        <f t="shared" si="0"/>
        <v>0</v>
      </c>
      <c r="H11" s="361">
        <f>G11*20%</f>
        <v>0</v>
      </c>
      <c r="I11" s="305"/>
      <c r="J11" s="21" t="s">
        <v>290</v>
      </c>
      <c r="K11" s="338">
        <f t="shared" si="1"/>
        <v>0</v>
      </c>
      <c r="L11" s="21"/>
      <c r="N11" s="17">
        <f>'fluxo caixa dez 2025'!M12-G11</f>
        <v>0</v>
      </c>
      <c r="O11" s="116">
        <f>'fluxo caixa fev 2026'!O11-'fluxo caixa mar 2026'!G11</f>
        <v>0</v>
      </c>
      <c r="P11" s="17"/>
      <c r="Q11" s="25">
        <f t="shared" si="2"/>
        <v>0</v>
      </c>
      <c r="R11" s="165"/>
      <c r="S11" s="165"/>
      <c r="T11" s="165"/>
      <c r="U11" s="138"/>
      <c r="V11" s="138"/>
      <c r="W11" s="138"/>
      <c r="X11" s="138"/>
      <c r="Y11" s="138"/>
      <c r="Z11" s="138"/>
      <c r="AA11" s="138"/>
      <c r="AB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</row>
    <row r="12" spans="1:40" x14ac:dyDescent="0.3">
      <c r="A12" s="216" t="s">
        <v>79</v>
      </c>
      <c r="B12" s="215" t="s">
        <v>84</v>
      </c>
      <c r="C12" s="267">
        <f>19308.06+4813.57+78.19</f>
        <v>24199.82</v>
      </c>
      <c r="D12" s="267">
        <f>1664.95+351.17</f>
        <v>2016.1200000000001</v>
      </c>
      <c r="E12" s="267"/>
      <c r="F12" s="267"/>
      <c r="G12" s="360">
        <f t="shared" si="0"/>
        <v>26215.94</v>
      </c>
      <c r="H12" s="362">
        <f>G12*15%</f>
        <v>3932.3909999999996</v>
      </c>
      <c r="I12" s="306" t="s">
        <v>256</v>
      </c>
      <c r="J12" s="21" t="s">
        <v>290</v>
      </c>
      <c r="K12" s="338">
        <f t="shared" si="1"/>
        <v>3932.3909999999996</v>
      </c>
      <c r="L12" s="37"/>
      <c r="N12" s="17">
        <f>'fluxo caixa fev 2026'!N12-'fluxo caixa mar 2026'!G12</f>
        <v>-116739.51</v>
      </c>
      <c r="O12" s="116">
        <f>'fluxo caixa dez 2025'!N13</f>
        <v>0</v>
      </c>
      <c r="P12" s="17"/>
      <c r="Q12" s="25" t="e">
        <f t="shared" si="2"/>
        <v>#VALUE!</v>
      </c>
      <c r="R12" s="165"/>
      <c r="S12" s="165"/>
      <c r="T12" s="165"/>
      <c r="U12" s="138"/>
      <c r="V12" s="138"/>
      <c r="W12" s="138"/>
      <c r="X12" s="138"/>
      <c r="Y12" s="138"/>
      <c r="Z12" s="138"/>
      <c r="AA12" s="138"/>
      <c r="AB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</row>
    <row r="13" spans="1:40" x14ac:dyDescent="0.3">
      <c r="A13" s="216" t="s">
        <v>80</v>
      </c>
      <c r="B13" s="215" t="s">
        <v>85</v>
      </c>
      <c r="C13" s="267">
        <v>102481.83</v>
      </c>
      <c r="D13" s="267">
        <f>10464.13+2023.45</f>
        <v>12487.58</v>
      </c>
      <c r="E13" s="267"/>
      <c r="F13" s="267"/>
      <c r="G13" s="360">
        <f>C13+D13+E13</f>
        <v>114969.41</v>
      </c>
      <c r="H13" s="362">
        <f>G13*15%</f>
        <v>17245.411499999998</v>
      </c>
      <c r="I13" s="305">
        <v>0.15</v>
      </c>
      <c r="J13" s="21" t="s">
        <v>290</v>
      </c>
      <c r="K13" s="338">
        <f t="shared" si="1"/>
        <v>17245.411499999998</v>
      </c>
      <c r="L13" s="37"/>
      <c r="N13" s="17">
        <v>0</v>
      </c>
      <c r="O13" s="116">
        <v>0</v>
      </c>
      <c r="P13" s="95">
        <f>Controle!K17-E13-12932.11</f>
        <v>309926.57120000001</v>
      </c>
      <c r="Q13" s="25">
        <f t="shared" si="2"/>
        <v>0</v>
      </c>
      <c r="R13" s="165"/>
      <c r="S13" s="165"/>
      <c r="T13" s="165"/>
      <c r="U13" s="138"/>
      <c r="V13" s="138"/>
      <c r="W13" s="138"/>
      <c r="Y13" s="138"/>
      <c r="Z13" s="138"/>
      <c r="AB13" s="138"/>
      <c r="AC13" s="138"/>
      <c r="AE13" s="138"/>
      <c r="AF13" s="138"/>
      <c r="AH13" s="138"/>
      <c r="AI13" s="138"/>
      <c r="AJ13" s="138"/>
      <c r="AK13" s="138"/>
      <c r="AL13" s="138"/>
      <c r="AM13" s="138"/>
      <c r="AN13" s="138"/>
    </row>
    <row r="14" spans="1:40" x14ac:dyDescent="0.3">
      <c r="A14" s="216" t="s">
        <v>82</v>
      </c>
      <c r="B14" s="215" t="s">
        <v>86</v>
      </c>
      <c r="C14" s="267">
        <f>33925.27</f>
        <v>33925.269999999997</v>
      </c>
      <c r="D14" s="267">
        <f>7141.46+1550.46</f>
        <v>8691.92</v>
      </c>
      <c r="E14" s="267"/>
      <c r="F14" s="267"/>
      <c r="G14" s="360">
        <f>SUM(C14:E14)</f>
        <v>42617.189999999995</v>
      </c>
      <c r="H14" s="362">
        <f>G14*20%</f>
        <v>8523.4380000000001</v>
      </c>
      <c r="I14" s="305">
        <v>0.2</v>
      </c>
      <c r="J14" s="21" t="s">
        <v>290</v>
      </c>
      <c r="K14" s="338">
        <f t="shared" si="1"/>
        <v>8523.4380000000001</v>
      </c>
      <c r="L14" s="37"/>
      <c r="N14" s="17">
        <f>'fluxo caixa fev 2026'!N14-'fluxo caixa mar 2026'!G14</f>
        <v>-244142.22</v>
      </c>
      <c r="O14" s="116">
        <v>0</v>
      </c>
      <c r="Q14" s="25">
        <f t="shared" si="2"/>
        <v>-244142.22</v>
      </c>
      <c r="R14" s="165"/>
      <c r="S14" s="165"/>
      <c r="T14" s="165"/>
      <c r="U14" s="138"/>
      <c r="V14" s="138"/>
      <c r="W14" s="138"/>
      <c r="X14" s="138"/>
      <c r="Y14" s="138"/>
      <c r="AA14" s="138"/>
      <c r="AB14" s="143"/>
      <c r="AC14" s="138"/>
      <c r="AD14" s="138"/>
      <c r="AE14" s="143"/>
      <c r="AF14" s="138"/>
      <c r="AG14" s="138"/>
      <c r="AH14" s="138"/>
      <c r="AI14" s="138"/>
      <c r="AJ14" s="138"/>
      <c r="AK14" s="138"/>
      <c r="AL14" s="138"/>
      <c r="AM14" s="138"/>
      <c r="AN14" s="138"/>
    </row>
    <row r="15" spans="1:40" x14ac:dyDescent="0.3">
      <c r="A15" s="216" t="s">
        <v>83</v>
      </c>
      <c r="B15" s="215" t="s">
        <v>87</v>
      </c>
      <c r="C15" s="267">
        <f>2765.04</f>
        <v>2765.04</v>
      </c>
      <c r="D15" s="267"/>
      <c r="E15" s="267"/>
      <c r="F15" s="267"/>
      <c r="G15" s="360">
        <f>SUM(C15:E15)</f>
        <v>2765.04</v>
      </c>
      <c r="H15" s="362">
        <f>G15*20%</f>
        <v>553.00800000000004</v>
      </c>
      <c r="I15" s="305">
        <v>0.2</v>
      </c>
      <c r="J15" s="21" t="s">
        <v>290</v>
      </c>
      <c r="K15" s="338">
        <f t="shared" si="1"/>
        <v>553.00800000000004</v>
      </c>
      <c r="L15" s="37"/>
      <c r="N15" s="17">
        <v>0</v>
      </c>
      <c r="O15" s="116">
        <f>'fluxo caixa fev 2026'!O15-'fluxo caixa mar 2026'!G15</f>
        <v>59153.02</v>
      </c>
      <c r="P15" s="17"/>
      <c r="Q15" s="25">
        <f t="shared" si="2"/>
        <v>11830.603999999999</v>
      </c>
      <c r="R15" s="165"/>
      <c r="S15" s="167"/>
      <c r="T15" s="165"/>
      <c r="U15" s="138"/>
      <c r="V15" s="143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</row>
    <row r="16" spans="1:40" ht="13.95" customHeight="1" x14ac:dyDescent="0.3">
      <c r="A16" s="216" t="s">
        <v>122</v>
      </c>
      <c r="B16" s="215" t="s">
        <v>123</v>
      </c>
      <c r="C16" s="267">
        <v>36114.03</v>
      </c>
      <c r="D16" s="267">
        <f>38662.29+8393.14</f>
        <v>47055.43</v>
      </c>
      <c r="E16" s="268"/>
      <c r="F16" s="268"/>
      <c r="G16" s="360">
        <f>C16+D16+E16</f>
        <v>83169.459999999992</v>
      </c>
      <c r="H16" s="362">
        <f>G16*20%</f>
        <v>16633.892</v>
      </c>
      <c r="I16" s="305">
        <v>0.2</v>
      </c>
      <c r="J16" s="21" t="s">
        <v>290</v>
      </c>
      <c r="K16" s="338">
        <f t="shared" si="1"/>
        <v>16633.892</v>
      </c>
      <c r="L16" s="37"/>
      <c r="N16" s="17"/>
      <c r="O16" s="116">
        <f>'fluxo caixa fev 2026'!O16-'fluxo caixa mar 2026'!G16</f>
        <v>1114395.6300000001</v>
      </c>
      <c r="P16" s="17"/>
      <c r="Q16" s="25">
        <f t="shared" si="2"/>
        <v>222879.12600000005</v>
      </c>
      <c r="R16" s="165"/>
      <c r="S16" s="165"/>
      <c r="T16" s="165"/>
      <c r="U16" s="138"/>
      <c r="V16" s="138"/>
      <c r="X16" s="138"/>
      <c r="Y16" s="143"/>
      <c r="Z16" s="138"/>
      <c r="AA16" s="138"/>
      <c r="AB16" s="143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</row>
    <row r="17" spans="1:40" x14ac:dyDescent="0.3">
      <c r="A17" s="341" t="s">
        <v>52</v>
      </c>
      <c r="B17" s="80" t="s">
        <v>59</v>
      </c>
      <c r="C17" s="267"/>
      <c r="D17" s="267"/>
      <c r="E17" s="268"/>
      <c r="F17" s="268"/>
      <c r="G17" s="360"/>
      <c r="H17" s="362">
        <f>G17*10%</f>
        <v>0</v>
      </c>
      <c r="I17" s="306">
        <v>0.1</v>
      </c>
      <c r="J17" s="21" t="s">
        <v>290</v>
      </c>
      <c r="K17" s="338">
        <f t="shared" si="1"/>
        <v>0</v>
      </c>
      <c r="L17" s="37"/>
      <c r="N17" s="17">
        <v>0</v>
      </c>
      <c r="O17" s="77">
        <f>'fluxo caixa fev 2026'!O17-'fluxo caixa mar 2026'!G17</f>
        <v>0</v>
      </c>
      <c r="P17" s="17">
        <f>'fluxo caixa jan 2026'!P17-'fluxo caixa mar 2026'!G17</f>
        <v>340788.8899999999</v>
      </c>
      <c r="Q17" s="25">
        <f t="shared" si="2"/>
        <v>0</v>
      </c>
      <c r="R17" s="165"/>
      <c r="S17" s="165"/>
      <c r="T17" s="165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</row>
    <row r="18" spans="1:40" x14ac:dyDescent="0.3">
      <c r="A18" s="216" t="s">
        <v>136</v>
      </c>
      <c r="B18" s="215" t="s">
        <v>137</v>
      </c>
      <c r="C18" s="267">
        <f>122026.43+428.46</f>
        <v>122454.89</v>
      </c>
      <c r="D18" s="267">
        <f>50508.87+10907.72</f>
        <v>61416.590000000004</v>
      </c>
      <c r="E18" s="268"/>
      <c r="F18" s="268"/>
      <c r="G18" s="360">
        <f>C18+D18+E18</f>
        <v>183871.48</v>
      </c>
      <c r="H18" s="362">
        <f>G18*15%</f>
        <v>27580.722000000002</v>
      </c>
      <c r="I18" s="305">
        <v>0.15</v>
      </c>
      <c r="J18" s="21" t="s">
        <v>290</v>
      </c>
      <c r="K18" s="338">
        <f t="shared" si="1"/>
        <v>27580.722000000002</v>
      </c>
      <c r="L18" s="37"/>
      <c r="N18" s="17"/>
      <c r="O18" s="116">
        <f>'fluxo caixa fev 2026'!O18-'fluxo caixa mar 2026'!G18</f>
        <v>760535.3600000001</v>
      </c>
      <c r="P18" s="17">
        <v>0</v>
      </c>
      <c r="Q18" s="25">
        <f t="shared" si="2"/>
        <v>114080.30400000002</v>
      </c>
      <c r="R18" s="165"/>
      <c r="S18" s="165"/>
      <c r="T18" s="165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</row>
    <row r="19" spans="1:40" x14ac:dyDescent="0.3">
      <c r="A19" s="216" t="s">
        <v>55</v>
      </c>
      <c r="B19" s="215" t="s">
        <v>62</v>
      </c>
      <c r="C19" s="267">
        <v>1913.13</v>
      </c>
      <c r="D19" s="267"/>
      <c r="E19" s="268"/>
      <c r="F19" s="268"/>
      <c r="G19" s="360">
        <f t="shared" ref="G19:G24" si="3">C19+D19+E19+F19</f>
        <v>1913.13</v>
      </c>
      <c r="H19" s="362">
        <f t="shared" ref="H19:H24" si="4">G19*12.5%</f>
        <v>239.14125000000001</v>
      </c>
      <c r="I19" s="305">
        <v>0.125</v>
      </c>
      <c r="J19" s="21" t="s">
        <v>290</v>
      </c>
      <c r="K19" s="338">
        <f t="shared" si="1"/>
        <v>239.14125000000001</v>
      </c>
      <c r="L19" s="37"/>
      <c r="N19" s="17">
        <v>0</v>
      </c>
      <c r="O19" s="116">
        <f>'fluxo caixa fev 2026'!O19-'fluxo caixa mar 2026'!G19</f>
        <v>384352.83999999997</v>
      </c>
      <c r="P19" s="17">
        <f>Controle!K29</f>
        <v>2283.29</v>
      </c>
      <c r="Q19" s="25">
        <f t="shared" si="2"/>
        <v>48044.104999999996</v>
      </c>
      <c r="R19" s="165"/>
      <c r="S19" s="167"/>
      <c r="T19" s="165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</row>
    <row r="20" spans="1:40" x14ac:dyDescent="0.3">
      <c r="A20" s="216" t="s">
        <v>135</v>
      </c>
      <c r="B20" s="215" t="s">
        <v>138</v>
      </c>
      <c r="C20" s="267">
        <f>196.16+30.18+61.89+553.27</f>
        <v>841.5</v>
      </c>
      <c r="D20" s="267">
        <f>17276.7+4328.77</f>
        <v>21605.47</v>
      </c>
      <c r="E20" s="268"/>
      <c r="F20" s="268"/>
      <c r="G20" s="360">
        <f t="shared" si="3"/>
        <v>22446.97</v>
      </c>
      <c r="H20" s="362">
        <f t="shared" si="4"/>
        <v>2805.8712500000001</v>
      </c>
      <c r="I20" s="305">
        <v>0.125</v>
      </c>
      <c r="J20" s="21" t="s">
        <v>290</v>
      </c>
      <c r="K20" s="338">
        <f t="shared" si="1"/>
        <v>2805.8712500000001</v>
      </c>
      <c r="L20" s="37"/>
      <c r="N20" s="17">
        <f>'fluxo caixa fev 2026'!N20-'fluxo caixa mar 2026'!G20</f>
        <v>392699</v>
      </c>
      <c r="O20" s="116">
        <f>Controle!J30-G20+65444.12+12131.07</f>
        <v>299759.2402</v>
      </c>
      <c r="P20" s="17"/>
      <c r="Q20" s="25">
        <f t="shared" si="2"/>
        <v>430168.90502499999</v>
      </c>
      <c r="R20" s="165"/>
      <c r="S20" s="165"/>
      <c r="T20" s="165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</row>
    <row r="21" spans="1:40" x14ac:dyDescent="0.3">
      <c r="A21" s="216" t="s">
        <v>54</v>
      </c>
      <c r="B21" s="215" t="s">
        <v>61</v>
      </c>
      <c r="C21" s="267">
        <v>574.58000000000004</v>
      </c>
      <c r="D21" s="267"/>
      <c r="E21" s="268"/>
      <c r="F21" s="268"/>
      <c r="G21" s="360">
        <f t="shared" si="3"/>
        <v>574.58000000000004</v>
      </c>
      <c r="H21" s="362">
        <f t="shared" si="4"/>
        <v>71.822500000000005</v>
      </c>
      <c r="I21" s="305">
        <v>0.125</v>
      </c>
      <c r="J21" s="21" t="s">
        <v>290</v>
      </c>
      <c r="K21" s="338">
        <f t="shared" si="1"/>
        <v>71.822500000000005</v>
      </c>
      <c r="L21" s="37"/>
      <c r="N21" s="17">
        <v>0</v>
      </c>
      <c r="O21" s="116">
        <f>'fluxo caixa fev 2026'!O21-'fluxo caixa mar 2026'!G21</f>
        <v>1145906.45</v>
      </c>
      <c r="P21" s="17">
        <f>'fluxo caixa fev 2026'!P21-'fluxo caixa mar 2026'!G21</f>
        <v>66148.85000000002</v>
      </c>
      <c r="Q21" s="25">
        <f t="shared" si="2"/>
        <v>143238.30624999999</v>
      </c>
      <c r="R21" s="165"/>
      <c r="S21" s="165"/>
      <c r="T21" s="168"/>
      <c r="U21" s="138"/>
      <c r="V21" s="138"/>
      <c r="W21" s="138"/>
      <c r="X21" s="138"/>
      <c r="Y21" s="138"/>
      <c r="Z21" s="138"/>
      <c r="AA21" s="138"/>
      <c r="AB21" s="138"/>
      <c r="AC21" s="138"/>
      <c r="AD21" s="139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</row>
    <row r="22" spans="1:40" x14ac:dyDescent="0.3">
      <c r="A22" s="216" t="s">
        <v>58</v>
      </c>
      <c r="B22" s="215" t="s">
        <v>65</v>
      </c>
      <c r="C22" s="267">
        <v>101.39</v>
      </c>
      <c r="D22" s="267"/>
      <c r="E22" s="268"/>
      <c r="F22" s="268"/>
      <c r="G22" s="360">
        <f t="shared" si="3"/>
        <v>101.39</v>
      </c>
      <c r="H22" s="362">
        <f t="shared" si="4"/>
        <v>12.67375</v>
      </c>
      <c r="I22" s="305">
        <v>0.125</v>
      </c>
      <c r="J22" s="21" t="s">
        <v>290</v>
      </c>
      <c r="K22" s="338">
        <f t="shared" si="1"/>
        <v>12.67375</v>
      </c>
      <c r="L22" s="37"/>
      <c r="N22" s="17">
        <v>0</v>
      </c>
      <c r="O22" s="116">
        <f>'fluxo caixa fev 2026'!O22-'fluxo caixa mar 2026'!G22</f>
        <v>254956.29</v>
      </c>
      <c r="P22" s="17">
        <v>0</v>
      </c>
      <c r="Q22" s="25">
        <f t="shared" si="2"/>
        <v>31869.536250000001</v>
      </c>
      <c r="R22" s="165"/>
      <c r="S22" s="165"/>
      <c r="T22" s="165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</row>
    <row r="23" spans="1:40" x14ac:dyDescent="0.3">
      <c r="A23" s="216" t="s">
        <v>57</v>
      </c>
      <c r="B23" s="215" t="s">
        <v>64</v>
      </c>
      <c r="C23" s="267">
        <v>3831.28</v>
      </c>
      <c r="D23" s="267"/>
      <c r="E23" s="268"/>
      <c r="F23" s="268"/>
      <c r="G23" s="360">
        <f t="shared" si="3"/>
        <v>3831.28</v>
      </c>
      <c r="H23" s="362">
        <f t="shared" si="4"/>
        <v>478.91</v>
      </c>
      <c r="I23" s="305">
        <v>0.125</v>
      </c>
      <c r="J23" s="21" t="s">
        <v>290</v>
      </c>
      <c r="K23" s="338">
        <f t="shared" si="1"/>
        <v>478.91</v>
      </c>
      <c r="L23" s="37"/>
      <c r="N23" s="17">
        <v>0</v>
      </c>
      <c r="O23" s="116">
        <f>'fluxo caixa fev 2026'!O21</f>
        <v>1146481.03</v>
      </c>
      <c r="P23" s="17">
        <f>'fluxo caixa fev 2026'!P23-'fluxo caixa mar 2026'!G23-69.6</f>
        <v>225557.84999999998</v>
      </c>
      <c r="Q23" s="25">
        <f t="shared" si="2"/>
        <v>143310.12875</v>
      </c>
      <c r="R23" s="165"/>
      <c r="S23" s="165"/>
      <c r="T23" s="165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</row>
    <row r="24" spans="1:40" x14ac:dyDescent="0.3">
      <c r="A24" s="216" t="s">
        <v>56</v>
      </c>
      <c r="B24" s="215" t="s">
        <v>63</v>
      </c>
      <c r="C24" s="267">
        <v>2660.94</v>
      </c>
      <c r="D24" s="267"/>
      <c r="E24" s="268"/>
      <c r="F24" s="268"/>
      <c r="G24" s="360">
        <f t="shared" si="3"/>
        <v>2660.94</v>
      </c>
      <c r="H24" s="362">
        <f t="shared" si="4"/>
        <v>332.61750000000001</v>
      </c>
      <c r="I24" s="305">
        <v>0.125</v>
      </c>
      <c r="J24" s="21" t="s">
        <v>290</v>
      </c>
      <c r="K24" s="338">
        <f t="shared" si="1"/>
        <v>332.61750000000001</v>
      </c>
      <c r="L24" s="37"/>
      <c r="N24" s="17">
        <f>'fluxo caixa fev 2026'!N24-'fluxo caixa mar 2026'!G24</f>
        <v>30525.26</v>
      </c>
      <c r="O24" s="116">
        <v>0</v>
      </c>
      <c r="P24" s="17"/>
      <c r="Q24" s="25">
        <f t="shared" si="2"/>
        <v>30525.26</v>
      </c>
      <c r="R24" s="165"/>
      <c r="S24" s="165"/>
      <c r="T24" s="168"/>
      <c r="U24" s="138"/>
      <c r="V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</row>
    <row r="25" spans="1:40" x14ac:dyDescent="0.3">
      <c r="A25" s="216" t="s">
        <v>152</v>
      </c>
      <c r="B25" s="215" t="s">
        <v>153</v>
      </c>
      <c r="C25" s="267">
        <v>17243.689999999999</v>
      </c>
      <c r="D25" s="267"/>
      <c r="E25" s="268"/>
      <c r="F25" s="268"/>
      <c r="G25" s="360">
        <f>C25+D25+E25</f>
        <v>17243.689999999999</v>
      </c>
      <c r="H25" s="362">
        <f t="shared" ref="H25:H32" si="5">G25*20%</f>
        <v>3448.7379999999998</v>
      </c>
      <c r="I25" s="305">
        <v>0.2</v>
      </c>
      <c r="J25" s="21" t="s">
        <v>290</v>
      </c>
      <c r="K25" s="338">
        <f t="shared" si="1"/>
        <v>3448.7379999999998</v>
      </c>
      <c r="L25" s="37"/>
      <c r="N25" s="17">
        <f>'fluxo caixa fev 2026'!N25-'fluxo caixa mar 2026'!G25</f>
        <v>1007522.9500000001</v>
      </c>
      <c r="O25" s="116">
        <f>Controle!J35</f>
        <v>127712.31</v>
      </c>
      <c r="P25" s="17"/>
      <c r="Q25" s="25">
        <f t="shared" si="2"/>
        <v>1033065.412</v>
      </c>
      <c r="R25" s="165"/>
      <c r="S25" s="165"/>
      <c r="T25" s="165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</row>
    <row r="26" spans="1:40" x14ac:dyDescent="0.3">
      <c r="A26" s="216" t="s">
        <v>157</v>
      </c>
      <c r="B26" s="215" t="s">
        <v>158</v>
      </c>
      <c r="C26" s="267">
        <v>2015.54</v>
      </c>
      <c r="D26" s="267"/>
      <c r="E26" s="268"/>
      <c r="F26" s="268"/>
      <c r="G26" s="360">
        <f>C26+D26+E26</f>
        <v>2015.54</v>
      </c>
      <c r="H26" s="362">
        <f t="shared" si="5"/>
        <v>403.108</v>
      </c>
      <c r="I26" s="305">
        <v>0.2</v>
      </c>
      <c r="J26" s="21" t="s">
        <v>290</v>
      </c>
      <c r="K26" s="338">
        <f t="shared" si="1"/>
        <v>403.108</v>
      </c>
      <c r="L26" s="37"/>
      <c r="N26" s="17">
        <f>'fluxo caixa fev 2026'!N26-'fluxo caixa mar 2026'!G26</f>
        <v>354952.81</v>
      </c>
      <c r="O26" s="116">
        <f>Controle!J36</f>
        <v>206005.26</v>
      </c>
      <c r="P26" s="17"/>
      <c r="Q26" s="25">
        <f t="shared" si="2"/>
        <v>396153.86200000002</v>
      </c>
      <c r="R26" s="165"/>
      <c r="S26" s="165"/>
      <c r="T26" s="165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</row>
    <row r="27" spans="1:40" x14ac:dyDescent="0.3">
      <c r="A27" s="216" t="s">
        <v>154</v>
      </c>
      <c r="B27" s="215" t="s">
        <v>155</v>
      </c>
      <c r="C27" s="267">
        <v>6771.93</v>
      </c>
      <c r="D27" s="267"/>
      <c r="E27" s="268"/>
      <c r="F27" s="268"/>
      <c r="G27" s="360">
        <f>C27+D27+E27</f>
        <v>6771.93</v>
      </c>
      <c r="H27" s="362">
        <f t="shared" si="5"/>
        <v>1354.3860000000002</v>
      </c>
      <c r="I27" s="305">
        <v>0.2</v>
      </c>
      <c r="J27" s="21" t="s">
        <v>290</v>
      </c>
      <c r="K27" s="338">
        <f t="shared" si="1"/>
        <v>1354.3860000000002</v>
      </c>
      <c r="L27" s="37"/>
      <c r="N27" s="17">
        <f>'fluxo caixa fev 2026'!N27-'fluxo caixa mar 2026'!G27</f>
        <v>658816.5199999999</v>
      </c>
      <c r="O27" s="116">
        <f>Controle!J37</f>
        <v>61872.72</v>
      </c>
      <c r="P27" s="17"/>
      <c r="Q27" s="25">
        <f t="shared" si="2"/>
        <v>671191.0639999999</v>
      </c>
      <c r="R27" s="165"/>
      <c r="S27" s="165"/>
      <c r="T27" s="165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</row>
    <row r="28" spans="1:40" x14ac:dyDescent="0.3">
      <c r="A28" s="216" t="s">
        <v>236</v>
      </c>
      <c r="B28" s="215" t="s">
        <v>237</v>
      </c>
      <c r="C28" s="267">
        <f>7037.95+1705.21+82.06+317.82</f>
        <v>9143.0399999999991</v>
      </c>
      <c r="D28" s="267">
        <f>3551.84+743.34</f>
        <v>4295.18</v>
      </c>
      <c r="E28" s="268"/>
      <c r="F28" s="268"/>
      <c r="G28" s="360">
        <f t="shared" ref="G28:G32" si="6">C28+D28+E28+F28</f>
        <v>13438.22</v>
      </c>
      <c r="H28" s="362">
        <f t="shared" si="5"/>
        <v>2687.6440000000002</v>
      </c>
      <c r="I28" s="305">
        <v>0.2</v>
      </c>
      <c r="J28" s="21" t="s">
        <v>290</v>
      </c>
      <c r="K28" s="338">
        <f t="shared" si="1"/>
        <v>2687.6440000000002</v>
      </c>
      <c r="L28" s="37"/>
      <c r="M28" s="37"/>
      <c r="N28" s="17">
        <f>'fluxo caixa fev 2026'!N28-'fluxo caixa mar 2026'!G28</f>
        <v>139565.9</v>
      </c>
      <c r="O28" s="116"/>
      <c r="P28" s="17"/>
      <c r="Q28" s="25">
        <f t="shared" si="2"/>
        <v>139565.9</v>
      </c>
      <c r="R28" s="167"/>
      <c r="S28" s="168"/>
      <c r="T28" s="168"/>
    </row>
    <row r="29" spans="1:40" x14ac:dyDescent="0.3">
      <c r="A29" s="216" t="s">
        <v>238</v>
      </c>
      <c r="B29" s="215" t="s">
        <v>239</v>
      </c>
      <c r="C29" s="267">
        <v>7306.73</v>
      </c>
      <c r="D29" s="267">
        <f>2944.38+639.24</f>
        <v>3583.62</v>
      </c>
      <c r="E29" s="268"/>
      <c r="F29" s="268"/>
      <c r="G29" s="360">
        <f t="shared" si="6"/>
        <v>10890.349999999999</v>
      </c>
      <c r="H29" s="362">
        <f t="shared" si="5"/>
        <v>2178.0699999999997</v>
      </c>
      <c r="I29" s="305">
        <v>0.2</v>
      </c>
      <c r="J29" s="21" t="s">
        <v>290</v>
      </c>
      <c r="K29" s="338">
        <f t="shared" si="1"/>
        <v>2178.0699999999997</v>
      </c>
      <c r="L29" s="162"/>
      <c r="M29" s="162"/>
      <c r="N29" s="163">
        <f>'fluxo caixa fev 2026'!N29-'fluxo caixa mar 2026'!G29</f>
        <v>82266.040000000008</v>
      </c>
      <c r="O29" s="164"/>
      <c r="P29" s="163"/>
      <c r="Q29" s="25">
        <f t="shared" si="2"/>
        <v>82266.040000000008</v>
      </c>
      <c r="R29" s="167">
        <v>4.1937811202266097E+20</v>
      </c>
      <c r="S29" s="167">
        <v>2.48941143200226E+22</v>
      </c>
      <c r="T29" s="168">
        <v>4.15245075250226E+22</v>
      </c>
    </row>
    <row r="30" spans="1:40" x14ac:dyDescent="0.3">
      <c r="A30" s="216" t="s">
        <v>248</v>
      </c>
      <c r="B30" s="215" t="s">
        <v>251</v>
      </c>
      <c r="C30" s="267">
        <f>69999.75</f>
        <v>69999.75</v>
      </c>
      <c r="D30" s="267"/>
      <c r="E30" s="268"/>
      <c r="F30" s="268"/>
      <c r="G30" s="360">
        <f>C30+D30+E30+F30</f>
        <v>69999.75</v>
      </c>
      <c r="H30" s="362">
        <f>G30*20%</f>
        <v>13999.95</v>
      </c>
      <c r="I30" s="305">
        <v>0.2</v>
      </c>
      <c r="J30" s="21" t="s">
        <v>290</v>
      </c>
      <c r="K30" s="338">
        <f>H30</f>
        <v>13999.95</v>
      </c>
      <c r="L30" s="162"/>
      <c r="N30" s="163"/>
      <c r="O30" s="164"/>
      <c r="P30" s="163"/>
      <c r="Q30" s="25"/>
      <c r="R30" s="167"/>
      <c r="S30" s="167"/>
      <c r="T30" s="168"/>
    </row>
    <row r="31" spans="1:40" x14ac:dyDescent="0.3">
      <c r="A31" s="216" t="s">
        <v>249</v>
      </c>
      <c r="B31" s="215" t="s">
        <v>250</v>
      </c>
      <c r="C31" s="267">
        <v>157151.32</v>
      </c>
      <c r="D31" s="267">
        <f>13072.67+60971.78</f>
        <v>74044.45</v>
      </c>
      <c r="E31" s="268"/>
      <c r="F31" s="268"/>
      <c r="G31" s="360">
        <f t="shared" si="6"/>
        <v>231195.77000000002</v>
      </c>
      <c r="H31" s="362">
        <f t="shared" si="5"/>
        <v>46239.15400000001</v>
      </c>
      <c r="I31" s="305">
        <v>0.2</v>
      </c>
      <c r="J31" s="21" t="s">
        <v>290</v>
      </c>
      <c r="K31" s="338">
        <f t="shared" si="1"/>
        <v>46239.15400000001</v>
      </c>
      <c r="L31" s="37"/>
      <c r="M31" s="37"/>
      <c r="N31" s="17"/>
      <c r="O31" s="116"/>
      <c r="P31" s="17"/>
      <c r="Q31" s="25">
        <f t="shared" si="2"/>
        <v>0</v>
      </c>
      <c r="R31" s="167"/>
      <c r="S31" s="167"/>
      <c r="T31" s="168"/>
    </row>
    <row r="32" spans="1:40" x14ac:dyDescent="0.3">
      <c r="A32" s="216" t="s">
        <v>253</v>
      </c>
      <c r="B32" s="219" t="s">
        <v>259</v>
      </c>
      <c r="C32" s="267">
        <f>14233.58+1429.71</f>
        <v>15663.29</v>
      </c>
      <c r="D32" s="267">
        <f>2041.04+9401.47</f>
        <v>11442.509999999998</v>
      </c>
      <c r="E32" s="268"/>
      <c r="F32" s="268"/>
      <c r="G32" s="360">
        <f t="shared" si="6"/>
        <v>27105.8</v>
      </c>
      <c r="H32" s="362">
        <f t="shared" si="5"/>
        <v>5421.16</v>
      </c>
      <c r="I32" s="305">
        <v>0.2</v>
      </c>
      <c r="J32" s="21" t="s">
        <v>290</v>
      </c>
      <c r="K32" s="338">
        <f t="shared" si="1"/>
        <v>5421.16</v>
      </c>
      <c r="L32" s="162"/>
      <c r="N32" s="163">
        <f>Controle!I43-'fluxo caixa mar 2026'!G32</f>
        <v>173144.80000000002</v>
      </c>
      <c r="O32" s="164"/>
      <c r="P32" s="163"/>
      <c r="Q32" s="25">
        <f t="shared" si="2"/>
        <v>173144.80000000002</v>
      </c>
      <c r="R32" s="167"/>
      <c r="S32" s="167"/>
      <c r="T32" s="168"/>
    </row>
    <row r="33" spans="1:40" x14ac:dyDescent="0.3">
      <c r="A33" s="216" t="s">
        <v>255</v>
      </c>
      <c r="B33" s="219" t="s">
        <v>263</v>
      </c>
      <c r="C33" s="267">
        <f>171499.06+522940.64+139226.25+22965.13+6898.77</f>
        <v>863529.85</v>
      </c>
      <c r="D33" s="267">
        <f>214670.65+46295.25</f>
        <v>260965.9</v>
      </c>
      <c r="E33" s="268"/>
      <c r="F33" s="268"/>
      <c r="G33" s="360">
        <f>C33+D33+E33+F33</f>
        <v>1124495.75</v>
      </c>
      <c r="H33" s="362">
        <f>G33*20%</f>
        <v>224899.15000000002</v>
      </c>
      <c r="I33" s="306">
        <v>0.1</v>
      </c>
      <c r="J33" s="21" t="s">
        <v>290</v>
      </c>
      <c r="K33" s="338">
        <f>H33</f>
        <v>224899.15000000002</v>
      </c>
      <c r="L33" s="37"/>
      <c r="M33" s="37"/>
      <c r="N33" s="17">
        <f>Controle!I44-G33</f>
        <v>3139844.8200000003</v>
      </c>
      <c r="O33" s="116">
        <f>Controle!J44</f>
        <v>2840879.74</v>
      </c>
      <c r="P33" s="17">
        <f>Controle!K44</f>
        <v>119503.56</v>
      </c>
      <c r="Q33" s="17"/>
      <c r="R33" s="167"/>
      <c r="S33" s="167"/>
      <c r="T33" s="168"/>
    </row>
    <row r="34" spans="1:40" x14ac:dyDescent="0.3">
      <c r="A34" s="220" t="s">
        <v>272</v>
      </c>
      <c r="B34" s="219" t="s">
        <v>274</v>
      </c>
      <c r="C34" s="267"/>
      <c r="D34" s="267"/>
      <c r="E34" s="268"/>
      <c r="F34" s="268">
        <v>1894338.27</v>
      </c>
      <c r="G34" s="360">
        <f>C34+D34+E34+F34</f>
        <v>1894338.27</v>
      </c>
      <c r="H34" s="362">
        <f>G34*10%/4</f>
        <v>47358.456750000005</v>
      </c>
      <c r="I34" s="306">
        <v>0.1</v>
      </c>
      <c r="J34" s="21" t="s">
        <v>290</v>
      </c>
      <c r="K34" s="338">
        <f>H34</f>
        <v>47358.456750000005</v>
      </c>
      <c r="L34" s="37"/>
      <c r="M34" s="37"/>
      <c r="N34" s="17"/>
      <c r="O34" s="116"/>
      <c r="P34" s="17"/>
      <c r="Q34" s="25"/>
      <c r="R34" s="167"/>
      <c r="S34" s="167"/>
      <c r="T34" s="168"/>
    </row>
    <row r="35" spans="1:40" x14ac:dyDescent="0.3">
      <c r="A35" s="220" t="s">
        <v>260</v>
      </c>
      <c r="B35" s="219" t="s">
        <v>261</v>
      </c>
      <c r="C35" s="4"/>
      <c r="D35" s="4"/>
      <c r="E35" s="4"/>
      <c r="F35" s="4"/>
      <c r="G35" s="360">
        <f t="shared" ref="G35:G39" si="7">C35+D35+E35+F35</f>
        <v>0</v>
      </c>
      <c r="H35" s="362">
        <f t="shared" ref="H35:H39" si="8">G35*10%/4</f>
        <v>0</v>
      </c>
      <c r="I35" s="306">
        <v>0</v>
      </c>
      <c r="J35" s="21" t="s">
        <v>290</v>
      </c>
    </row>
    <row r="36" spans="1:40" x14ac:dyDescent="0.3">
      <c r="A36" s="216" t="s">
        <v>273</v>
      </c>
      <c r="B36" s="219" t="s">
        <v>277</v>
      </c>
      <c r="C36" s="317"/>
      <c r="D36" s="317"/>
      <c r="E36" s="327"/>
      <c r="F36" s="327"/>
      <c r="G36" s="360">
        <f t="shared" si="7"/>
        <v>0</v>
      </c>
      <c r="H36" s="362">
        <f t="shared" si="8"/>
        <v>0</v>
      </c>
      <c r="I36" s="306">
        <v>0</v>
      </c>
      <c r="J36" s="21" t="s">
        <v>290</v>
      </c>
      <c r="K36" s="338"/>
      <c r="L36" s="37"/>
      <c r="M36" s="37"/>
      <c r="N36" s="17"/>
      <c r="O36" s="116"/>
      <c r="P36" s="17"/>
      <c r="Q36" s="25"/>
      <c r="R36" s="167"/>
      <c r="S36" s="167"/>
      <c r="T36" s="168"/>
    </row>
    <row r="37" spans="1:40" s="185" customFormat="1" x14ac:dyDescent="0.3">
      <c r="A37" s="216" t="s">
        <v>283</v>
      </c>
      <c r="B37" s="219" t="s">
        <v>284</v>
      </c>
      <c r="C37" s="317"/>
      <c r="D37" s="317"/>
      <c r="E37" s="317"/>
      <c r="F37" s="317"/>
      <c r="G37" s="360">
        <f t="shared" si="7"/>
        <v>0</v>
      </c>
      <c r="H37" s="362">
        <f t="shared" si="8"/>
        <v>0</v>
      </c>
      <c r="I37" s="306">
        <v>0</v>
      </c>
      <c r="J37" s="21" t="s">
        <v>290</v>
      </c>
      <c r="K37" s="189">
        <f>SUM(K4:K36)</f>
        <v>528636.32825000002</v>
      </c>
      <c r="L37" s="186"/>
      <c r="N37" s="187"/>
      <c r="O37" s="187">
        <f>SUM(O4:O27)</f>
        <v>5811178.8202</v>
      </c>
      <c r="P37" s="187">
        <f>SUM(P4:P27)</f>
        <v>944705.45119999989</v>
      </c>
      <c r="Q37" s="187" t="e">
        <f>SUM(Q4:Q32)</f>
        <v>#VALUE!</v>
      </c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</row>
    <row r="38" spans="1:40" x14ac:dyDescent="0.3">
      <c r="A38" s="220" t="s">
        <v>270</v>
      </c>
      <c r="B38" s="219" t="s">
        <v>275</v>
      </c>
      <c r="C38" s="340"/>
      <c r="D38" s="340"/>
      <c r="E38" s="340"/>
      <c r="F38" s="340"/>
      <c r="G38" s="360">
        <f t="shared" si="7"/>
        <v>0</v>
      </c>
      <c r="H38" s="362">
        <f t="shared" si="8"/>
        <v>0</v>
      </c>
      <c r="I38" s="306">
        <v>0</v>
      </c>
      <c r="J38" s="21" t="s">
        <v>290</v>
      </c>
      <c r="K38" s="339">
        <f>K37*20%</f>
        <v>105727.26565000002</v>
      </c>
      <c r="L38" s="30"/>
      <c r="M38" s="69"/>
      <c r="N38" s="9"/>
    </row>
    <row r="39" spans="1:40" x14ac:dyDescent="0.3">
      <c r="A39" s="220" t="s">
        <v>271</v>
      </c>
      <c r="B39" s="219" t="s">
        <v>276</v>
      </c>
      <c r="C39" s="4"/>
      <c r="D39" s="4"/>
      <c r="E39" s="4"/>
      <c r="F39" s="4"/>
      <c r="G39" s="360">
        <f t="shared" si="7"/>
        <v>0</v>
      </c>
      <c r="H39" s="362">
        <f t="shared" si="8"/>
        <v>0</v>
      </c>
      <c r="I39" s="306">
        <v>0</v>
      </c>
      <c r="J39" s="21" t="s">
        <v>290</v>
      </c>
      <c r="K39" s="69">
        <f>K37-K38</f>
        <v>422909.0626</v>
      </c>
      <c r="L39" s="69"/>
      <c r="N39" s="41"/>
    </row>
    <row r="40" spans="1:40" s="96" customFormat="1" x14ac:dyDescent="0.3">
      <c r="A40" s="269" t="s">
        <v>35</v>
      </c>
      <c r="B40" s="269"/>
      <c r="C40" s="324">
        <f>SUM(C4:C39)</f>
        <v>1967077.69</v>
      </c>
      <c r="D40" s="324">
        <f t="shared" ref="D40:J40" si="9">SUM(D4:D39)</f>
        <v>713155.13</v>
      </c>
      <c r="E40" s="324">
        <f t="shared" si="9"/>
        <v>0</v>
      </c>
      <c r="F40" s="324">
        <f t="shared" si="9"/>
        <v>1894338.27</v>
      </c>
      <c r="G40" s="363">
        <f t="shared" si="9"/>
        <v>4574571.09</v>
      </c>
      <c r="H40" s="363">
        <f t="shared" si="9"/>
        <v>528636.32825000002</v>
      </c>
      <c r="I40" s="326"/>
      <c r="J40" s="326">
        <f t="shared" si="9"/>
        <v>0</v>
      </c>
      <c r="K40" s="69"/>
      <c r="L40" s="69"/>
      <c r="M40" s="41"/>
      <c r="N40" s="41"/>
      <c r="O40"/>
      <c r="P40"/>
      <c r="Q40"/>
      <c r="AE40"/>
      <c r="AF40"/>
      <c r="AG40"/>
      <c r="AH40"/>
      <c r="AI40"/>
      <c r="AJ40"/>
      <c r="AK40"/>
      <c r="AL40"/>
      <c r="AM40"/>
      <c r="AN40"/>
    </row>
    <row r="41" spans="1:40" s="96" customFormat="1" x14ac:dyDescent="0.3">
      <c r="A41" s="1"/>
      <c r="B41" s="354"/>
      <c r="C41" s="326"/>
      <c r="D41" s="326"/>
      <c r="E41" s="326"/>
      <c r="F41" s="326"/>
      <c r="G41" s="324"/>
      <c r="H41" s="324"/>
      <c r="I41" s="307"/>
      <c r="J41" s="279"/>
      <c r="K41" s="69"/>
      <c r="L41" s="69"/>
      <c r="M41" s="69"/>
      <c r="N41" s="41"/>
      <c r="O41" s="69"/>
      <c r="P41"/>
      <c r="Q41"/>
      <c r="AE41"/>
      <c r="AF41"/>
      <c r="AG41"/>
      <c r="AH41"/>
      <c r="AI41"/>
      <c r="AJ41"/>
      <c r="AK41"/>
      <c r="AL41"/>
      <c r="AM41"/>
      <c r="AN41"/>
    </row>
    <row r="42" spans="1:40" s="96" customFormat="1" x14ac:dyDescent="0.3">
      <c r="A42" s="1"/>
      <c r="B42" s="355"/>
      <c r="C42" s="326"/>
      <c r="D42" s="326"/>
      <c r="E42" s="328"/>
      <c r="F42" s="328"/>
      <c r="G42" s="324"/>
      <c r="H42" s="324"/>
      <c r="I42" s="307"/>
      <c r="J42" s="273"/>
      <c r="K42" s="69"/>
      <c r="L42" s="69"/>
      <c r="M42" s="69"/>
      <c r="N42" s="41"/>
      <c r="O42" s="69"/>
      <c r="P42"/>
      <c r="Q42"/>
      <c r="AE42"/>
      <c r="AF42"/>
      <c r="AG42"/>
      <c r="AH42"/>
      <c r="AI42"/>
      <c r="AJ42"/>
      <c r="AK42"/>
      <c r="AL42"/>
      <c r="AM42"/>
      <c r="AN42"/>
    </row>
    <row r="43" spans="1:40" s="96" customFormat="1" x14ac:dyDescent="0.3">
      <c r="A43" s="1"/>
      <c r="B43" s="1"/>
      <c r="C43" s="326"/>
      <c r="D43" s="326"/>
      <c r="E43" s="326"/>
      <c r="F43" s="326"/>
      <c r="G43" s="324"/>
      <c r="H43" s="324"/>
      <c r="I43" s="307"/>
      <c r="J43" s="273"/>
      <c r="K43" s="108"/>
      <c r="L43"/>
      <c r="M43" s="41"/>
      <c r="N43"/>
      <c r="O43" s="69"/>
      <c r="P43"/>
      <c r="Q43"/>
      <c r="AE43"/>
      <c r="AF43"/>
      <c r="AG43"/>
      <c r="AH43"/>
      <c r="AI43"/>
      <c r="AJ43"/>
      <c r="AK43"/>
      <c r="AL43"/>
      <c r="AM43"/>
      <c r="AN43"/>
    </row>
    <row r="44" spans="1:40" s="96" customFormat="1" x14ac:dyDescent="0.3">
      <c r="A44" s="1"/>
      <c r="B44" s="1"/>
      <c r="C44" s="326"/>
      <c r="D44" s="326"/>
      <c r="E44" s="326"/>
      <c r="F44" s="326"/>
      <c r="G44" s="324"/>
      <c r="H44" s="324"/>
      <c r="I44" s="307"/>
      <c r="J44" s="283"/>
      <c r="K44" s="69"/>
      <c r="L44"/>
      <c r="M44"/>
      <c r="N44" s="69"/>
      <c r="O44"/>
      <c r="P44"/>
      <c r="Q44"/>
      <c r="AE44"/>
      <c r="AF44"/>
      <c r="AG44"/>
      <c r="AH44"/>
      <c r="AI44"/>
      <c r="AJ44"/>
      <c r="AK44"/>
      <c r="AL44"/>
      <c r="AM44"/>
      <c r="AN44"/>
    </row>
    <row r="45" spans="1:40" s="96" customFormat="1" x14ac:dyDescent="0.3">
      <c r="A45" s="1"/>
      <c r="B45" s="1"/>
      <c r="C45" s="326"/>
      <c r="D45" s="326"/>
      <c r="E45" s="326"/>
      <c r="F45" s="326"/>
      <c r="G45" s="324"/>
      <c r="H45" s="324"/>
      <c r="I45" s="307"/>
      <c r="J45" s="284"/>
      <c r="K45" s="69"/>
      <c r="L45"/>
      <c r="M45"/>
      <c r="N45" s="9"/>
      <c r="O45"/>
      <c r="P45"/>
      <c r="Q45"/>
      <c r="AE45"/>
      <c r="AF45"/>
      <c r="AG45"/>
      <c r="AH45"/>
      <c r="AI45"/>
      <c r="AJ45"/>
      <c r="AK45"/>
      <c r="AL45"/>
      <c r="AM45"/>
      <c r="AN45"/>
    </row>
    <row r="46" spans="1:40" s="96" customFormat="1" x14ac:dyDescent="0.3">
      <c r="A46" s="1"/>
      <c r="B46" s="1"/>
      <c r="C46" s="326"/>
      <c r="D46" s="326"/>
      <c r="E46" s="326"/>
      <c r="F46" s="326"/>
      <c r="G46" s="324"/>
      <c r="H46" s="324"/>
      <c r="I46" s="307"/>
      <c r="J46" s="1"/>
      <c r="K46" s="41"/>
      <c r="L46"/>
      <c r="M46"/>
      <c r="N46" s="9"/>
      <c r="O46"/>
      <c r="P46"/>
      <c r="Q46"/>
      <c r="AE46"/>
      <c r="AF46"/>
      <c r="AG46"/>
      <c r="AH46"/>
      <c r="AI46"/>
      <c r="AJ46"/>
      <c r="AK46"/>
      <c r="AL46"/>
      <c r="AM46"/>
      <c r="AN46"/>
    </row>
    <row r="47" spans="1:40" s="96" customFormat="1" x14ac:dyDescent="0.3">
      <c r="A47" s="1"/>
      <c r="B47" s="1"/>
      <c r="C47" s="326"/>
      <c r="D47" s="326"/>
      <c r="E47" s="326"/>
      <c r="F47" s="326"/>
      <c r="G47" s="324"/>
      <c r="H47" s="324"/>
      <c r="I47" s="307"/>
      <c r="J47" s="1"/>
      <c r="K47"/>
      <c r="L47"/>
      <c r="M47"/>
      <c r="N47" s="9"/>
      <c r="O47"/>
      <c r="P47"/>
      <c r="Q47"/>
      <c r="AE47"/>
      <c r="AF47"/>
      <c r="AG47"/>
      <c r="AH47"/>
      <c r="AI47"/>
      <c r="AJ47"/>
      <c r="AK47"/>
      <c r="AL47"/>
      <c r="AM47"/>
      <c r="AN47"/>
    </row>
    <row r="48" spans="1:40" s="96" customFormat="1" x14ac:dyDescent="0.3">
      <c r="A48" s="1"/>
      <c r="B48" s="1"/>
      <c r="C48" s="326"/>
      <c r="D48" s="326"/>
      <c r="E48" s="326"/>
      <c r="F48" s="326"/>
      <c r="G48" s="324"/>
      <c r="H48" s="324"/>
      <c r="I48" s="307"/>
      <c r="J48" s="1"/>
      <c r="K48"/>
      <c r="L48"/>
      <c r="M48"/>
      <c r="N48" s="9"/>
      <c r="O48"/>
      <c r="P48"/>
      <c r="Q48"/>
      <c r="AE48"/>
      <c r="AF48"/>
      <c r="AG48"/>
      <c r="AH48"/>
      <c r="AI48"/>
      <c r="AJ48"/>
      <c r="AK48"/>
      <c r="AL48"/>
      <c r="AM48"/>
      <c r="AN48"/>
    </row>
    <row r="49" spans="1:40" s="96" customFormat="1" x14ac:dyDescent="0.3">
      <c r="A49" s="1"/>
      <c r="B49" s="1"/>
      <c r="C49" s="326"/>
      <c r="D49" s="326"/>
      <c r="E49" s="326"/>
      <c r="F49" s="326"/>
      <c r="G49" s="324"/>
      <c r="H49" s="324"/>
      <c r="I49" s="307"/>
      <c r="J49" s="1"/>
      <c r="K49"/>
      <c r="L49"/>
      <c r="M49"/>
      <c r="N49" s="9"/>
      <c r="O49"/>
      <c r="P49"/>
      <c r="Q49"/>
      <c r="AE49"/>
      <c r="AF49"/>
      <c r="AG49"/>
      <c r="AH49"/>
      <c r="AI49"/>
      <c r="AJ49"/>
      <c r="AK49"/>
      <c r="AL49"/>
      <c r="AM49"/>
      <c r="AN49"/>
    </row>
    <row r="50" spans="1:40" s="96" customFormat="1" x14ac:dyDescent="0.3">
      <c r="A50" s="1"/>
      <c r="B50" s="1"/>
      <c r="C50" s="326"/>
      <c r="D50" s="326"/>
      <c r="E50" s="326"/>
      <c r="F50" s="326"/>
      <c r="G50" s="324"/>
      <c r="H50" s="324"/>
      <c r="I50" s="307"/>
      <c r="J50" s="1"/>
      <c r="K50"/>
      <c r="L50"/>
      <c r="M50"/>
      <c r="N50" s="9"/>
      <c r="O50"/>
      <c r="P50"/>
      <c r="Q50"/>
      <c r="AE50"/>
      <c r="AF50"/>
      <c r="AG50"/>
      <c r="AH50"/>
      <c r="AI50"/>
      <c r="AJ50"/>
      <c r="AK50"/>
      <c r="AL50"/>
      <c r="AM50"/>
      <c r="AN50"/>
    </row>
    <row r="51" spans="1:40" s="96" customFormat="1" x14ac:dyDescent="0.3">
      <c r="A51" s="1"/>
      <c r="B51" s="1"/>
      <c r="C51" s="326"/>
      <c r="D51" s="326"/>
      <c r="E51" s="326" t="s">
        <v>252</v>
      </c>
      <c r="F51" s="326"/>
      <c r="G51" s="324"/>
      <c r="H51" s="324"/>
      <c r="I51" s="307"/>
      <c r="J51" s="1"/>
      <c r="K51"/>
      <c r="L51"/>
      <c r="M51"/>
      <c r="N51" s="9"/>
      <c r="O51"/>
      <c r="P51"/>
      <c r="Q51"/>
      <c r="AE51"/>
      <c r="AF51"/>
      <c r="AG51"/>
      <c r="AH51"/>
      <c r="AI51"/>
      <c r="AJ51"/>
      <c r="AK51"/>
      <c r="AL51"/>
      <c r="AM51"/>
      <c r="AN51"/>
    </row>
    <row r="52" spans="1:40" s="96" customFormat="1" x14ac:dyDescent="0.3">
      <c r="A52" s="1"/>
      <c r="B52" s="1"/>
      <c r="C52" s="326"/>
      <c r="D52" s="326"/>
      <c r="E52" s="326"/>
      <c r="F52" s="326"/>
      <c r="G52" s="324"/>
      <c r="H52" s="324"/>
      <c r="I52" s="307"/>
      <c r="J52" s="1"/>
      <c r="K52"/>
      <c r="L52"/>
      <c r="M52"/>
      <c r="N52" s="9"/>
      <c r="O52"/>
      <c r="P52"/>
      <c r="Q52"/>
      <c r="AE52"/>
      <c r="AF52"/>
      <c r="AG52"/>
      <c r="AH52"/>
      <c r="AI52"/>
      <c r="AJ52"/>
      <c r="AK52"/>
      <c r="AL52"/>
      <c r="AM52"/>
      <c r="AN52"/>
    </row>
    <row r="53" spans="1:40" s="96" customFormat="1" x14ac:dyDescent="0.3">
      <c r="A53" s="1"/>
      <c r="B53" s="1"/>
      <c r="C53" s="326"/>
      <c r="D53" s="326"/>
      <c r="E53" s="326"/>
      <c r="F53" s="326"/>
      <c r="G53" s="324"/>
      <c r="H53" s="324"/>
      <c r="I53" s="307"/>
      <c r="J53" s="1"/>
      <c r="K53"/>
      <c r="L53"/>
      <c r="M53"/>
      <c r="N53" s="9"/>
      <c r="O53"/>
      <c r="P53"/>
      <c r="Q53"/>
      <c r="AE53"/>
      <c r="AF53"/>
      <c r="AG53"/>
      <c r="AH53"/>
      <c r="AI53"/>
      <c r="AJ53"/>
      <c r="AK53"/>
      <c r="AL53"/>
      <c r="AM53"/>
      <c r="AN53"/>
    </row>
    <row r="54" spans="1:40" s="96" customFormat="1" x14ac:dyDescent="0.3">
      <c r="A54" s="1"/>
      <c r="B54" s="1"/>
      <c r="C54" s="326"/>
      <c r="D54" s="326"/>
      <c r="E54" s="326"/>
      <c r="F54" s="326"/>
      <c r="G54" s="324"/>
      <c r="H54" s="324"/>
      <c r="I54" s="307"/>
      <c r="J54" s="1"/>
      <c r="K54"/>
      <c r="L54"/>
      <c r="M54"/>
      <c r="N54" s="9"/>
      <c r="O54"/>
      <c r="P54"/>
      <c r="Q54"/>
      <c r="AE54"/>
      <c r="AF54"/>
      <c r="AG54"/>
      <c r="AH54"/>
      <c r="AI54"/>
      <c r="AJ54"/>
      <c r="AK54"/>
      <c r="AL54"/>
      <c r="AM54"/>
      <c r="AN54"/>
    </row>
    <row r="55" spans="1:40" s="96" customFormat="1" x14ac:dyDescent="0.3">
      <c r="A55" s="1"/>
      <c r="B55" s="1"/>
      <c r="C55" s="326"/>
      <c r="D55" s="326"/>
      <c r="E55" s="326"/>
      <c r="F55" s="326"/>
      <c r="G55" s="324"/>
      <c r="H55" s="324"/>
      <c r="I55" s="307"/>
      <c r="J55" s="1"/>
      <c r="K55"/>
      <c r="L55"/>
      <c r="M55"/>
      <c r="N55" s="9"/>
      <c r="O55"/>
      <c r="P55"/>
      <c r="Q55"/>
      <c r="AE55"/>
      <c r="AF55"/>
      <c r="AG55"/>
      <c r="AH55"/>
      <c r="AI55"/>
      <c r="AJ55"/>
      <c r="AK55"/>
      <c r="AL55"/>
      <c r="AM55"/>
      <c r="AN55"/>
    </row>
    <row r="56" spans="1:40" x14ac:dyDescent="0.3">
      <c r="A56" s="1"/>
      <c r="B56" s="1"/>
      <c r="C56" s="326"/>
      <c r="D56" s="326"/>
      <c r="E56" s="326"/>
      <c r="F56" s="326"/>
      <c r="G56" s="324"/>
      <c r="H56" s="324"/>
      <c r="I56" s="307"/>
      <c r="J56" s="1"/>
      <c r="N56" s="9"/>
    </row>
    <row r="57" spans="1:40" x14ac:dyDescent="0.3">
      <c r="A57" s="1"/>
      <c r="B57" s="1"/>
      <c r="C57" s="326"/>
      <c r="D57" s="326"/>
      <c r="E57" s="326"/>
      <c r="F57" s="326"/>
      <c r="G57" s="324"/>
      <c r="H57" s="324"/>
      <c r="I57" s="307"/>
      <c r="J57" s="1"/>
      <c r="N57" s="9"/>
    </row>
    <row r="58" spans="1:40" x14ac:dyDescent="0.3">
      <c r="A58" s="1"/>
      <c r="B58" s="1"/>
      <c r="C58" s="326"/>
      <c r="D58" s="326"/>
      <c r="E58" s="326"/>
      <c r="F58" s="326"/>
      <c r="G58" s="324"/>
      <c r="H58" s="324"/>
      <c r="I58" s="307"/>
      <c r="J58" s="1"/>
      <c r="N58" s="9"/>
    </row>
    <row r="59" spans="1:40" x14ac:dyDescent="0.3">
      <c r="A59" s="1"/>
      <c r="B59" s="1"/>
      <c r="C59" s="326"/>
      <c r="D59" s="326"/>
      <c r="E59" s="326"/>
      <c r="F59" s="326"/>
      <c r="G59" s="324"/>
      <c r="H59" s="324"/>
      <c r="I59" s="307"/>
      <c r="J59" s="1"/>
      <c r="N59" s="9"/>
    </row>
    <row r="60" spans="1:40" x14ac:dyDescent="0.3">
      <c r="A60" s="1"/>
      <c r="B60" s="1"/>
      <c r="C60" s="326"/>
      <c r="D60" s="326"/>
      <c r="E60" s="326"/>
      <c r="F60" s="326"/>
      <c r="G60" s="324"/>
      <c r="H60" s="324"/>
      <c r="I60" s="307"/>
      <c r="J60" s="1"/>
      <c r="N60" s="9"/>
    </row>
    <row r="61" spans="1:40" x14ac:dyDescent="0.3">
      <c r="A61" s="1"/>
      <c r="B61" s="1"/>
      <c r="C61" s="326"/>
      <c r="D61" s="326"/>
      <c r="E61" s="326"/>
      <c r="F61" s="326"/>
      <c r="G61" s="324"/>
      <c r="H61" s="324"/>
      <c r="I61" s="307"/>
      <c r="J61" s="1"/>
      <c r="N61" s="9"/>
    </row>
    <row r="62" spans="1:40" x14ac:dyDescent="0.3">
      <c r="A62" s="1"/>
      <c r="B62" s="1"/>
      <c r="C62" s="326"/>
      <c r="D62" s="326"/>
      <c r="E62" s="326"/>
      <c r="F62" s="326"/>
      <c r="G62" s="324"/>
      <c r="H62" s="324"/>
      <c r="I62" s="307"/>
      <c r="J62" s="1"/>
      <c r="N62" s="9"/>
    </row>
    <row r="63" spans="1:40" x14ac:dyDescent="0.3">
      <c r="A63" s="1"/>
      <c r="B63" s="1"/>
      <c r="C63" s="326"/>
      <c r="D63" s="326"/>
      <c r="E63" s="326"/>
      <c r="F63" s="326"/>
      <c r="G63" s="324"/>
      <c r="H63" s="324"/>
      <c r="I63" s="307"/>
      <c r="J63" s="1"/>
      <c r="N63" s="9"/>
    </row>
    <row r="64" spans="1:40" x14ac:dyDescent="0.3">
      <c r="A64" s="1"/>
      <c r="B64" s="1"/>
      <c r="C64" s="326"/>
      <c r="D64" s="326"/>
      <c r="E64" s="326"/>
      <c r="F64" s="326"/>
      <c r="G64" s="324"/>
      <c r="H64" s="324"/>
      <c r="I64" s="307"/>
      <c r="J64" s="1"/>
      <c r="N64" s="9"/>
    </row>
    <row r="65" spans="1:14" x14ac:dyDescent="0.3">
      <c r="A65" s="1"/>
      <c r="B65" s="1"/>
      <c r="C65" s="326"/>
      <c r="D65" s="326"/>
      <c r="E65" s="326"/>
      <c r="F65" s="326"/>
      <c r="G65" s="324"/>
      <c r="H65" s="324"/>
      <c r="I65" s="307"/>
      <c r="J65" s="1"/>
      <c r="N65" s="9"/>
    </row>
    <row r="66" spans="1:14" x14ac:dyDescent="0.3">
      <c r="A66" s="1"/>
      <c r="B66" s="1"/>
      <c r="C66" s="326"/>
      <c r="D66" s="326"/>
      <c r="E66" s="326"/>
      <c r="F66" s="326"/>
      <c r="G66" s="324"/>
      <c r="H66" s="324"/>
      <c r="I66" s="307"/>
      <c r="J66" s="1"/>
      <c r="N66" s="9"/>
    </row>
    <row r="67" spans="1:14" x14ac:dyDescent="0.3">
      <c r="A67" s="1"/>
      <c r="B67" s="1"/>
      <c r="C67" s="326"/>
      <c r="D67" s="326"/>
      <c r="E67" s="326"/>
      <c r="F67" s="326"/>
      <c r="G67" s="324"/>
      <c r="H67" s="324"/>
      <c r="I67" s="307"/>
      <c r="J67" s="1"/>
      <c r="N67" s="9"/>
    </row>
    <row r="68" spans="1:14" x14ac:dyDescent="0.3">
      <c r="A68" s="1"/>
      <c r="B68" s="1"/>
      <c r="C68" s="326"/>
      <c r="D68" s="326"/>
      <c r="E68" s="326"/>
      <c r="F68" s="326"/>
      <c r="G68" s="324"/>
      <c r="H68" s="324"/>
      <c r="I68" s="307"/>
      <c r="J68" s="1"/>
      <c r="N68" s="9"/>
    </row>
    <row r="69" spans="1:14" x14ac:dyDescent="0.3">
      <c r="A69" s="1"/>
      <c r="B69" s="1"/>
      <c r="C69" s="326"/>
      <c r="D69" s="326"/>
      <c r="E69" s="326"/>
      <c r="F69" s="326"/>
      <c r="G69" s="324"/>
      <c r="H69" s="324"/>
      <c r="I69" s="307"/>
      <c r="J69" s="1"/>
      <c r="N69" s="9"/>
    </row>
    <row r="70" spans="1:14" x14ac:dyDescent="0.3">
      <c r="A70" s="1"/>
      <c r="B70" s="1"/>
      <c r="C70" s="326"/>
      <c r="D70" s="326"/>
      <c r="E70" s="326"/>
      <c r="F70" s="326"/>
      <c r="G70" s="324"/>
      <c r="H70" s="324"/>
      <c r="I70" s="307"/>
      <c r="J70" s="1"/>
      <c r="N70" s="9"/>
    </row>
    <row r="71" spans="1:14" x14ac:dyDescent="0.3">
      <c r="A71" s="1"/>
      <c r="B71" s="1"/>
      <c r="C71" s="326"/>
      <c r="D71" s="326"/>
      <c r="E71" s="326"/>
      <c r="F71" s="326"/>
      <c r="G71" s="324"/>
      <c r="H71" s="324"/>
      <c r="I71" s="307"/>
      <c r="J71" s="1"/>
      <c r="N71" s="9"/>
    </row>
    <row r="72" spans="1:14" x14ac:dyDescent="0.3">
      <c r="A72" s="1"/>
      <c r="B72" s="1"/>
      <c r="C72" s="326"/>
      <c r="D72" s="326"/>
      <c r="E72" s="326"/>
      <c r="F72" s="326"/>
      <c r="G72" s="324"/>
      <c r="H72" s="324"/>
      <c r="I72" s="307"/>
      <c r="J72" s="1"/>
      <c r="N72" s="9"/>
    </row>
    <row r="73" spans="1:14" x14ac:dyDescent="0.3">
      <c r="A73" s="1"/>
      <c r="B73" s="1"/>
      <c r="C73" s="326"/>
      <c r="D73" s="326"/>
      <c r="E73" s="326"/>
      <c r="F73" s="326"/>
      <c r="G73" s="324"/>
      <c r="H73" s="324"/>
      <c r="I73" s="307"/>
      <c r="J73" s="1"/>
      <c r="N73" s="9"/>
    </row>
    <row r="74" spans="1:14" x14ac:dyDescent="0.3">
      <c r="A74" s="1"/>
      <c r="B74" s="1"/>
      <c r="C74" s="326"/>
      <c r="D74" s="326"/>
      <c r="E74" s="326"/>
      <c r="F74" s="326"/>
      <c r="G74" s="324"/>
      <c r="H74" s="324"/>
      <c r="I74" s="307"/>
      <c r="J74" s="1"/>
      <c r="N74" s="9"/>
    </row>
    <row r="75" spans="1:14" x14ac:dyDescent="0.3">
      <c r="A75" s="1"/>
      <c r="B75" s="1"/>
      <c r="C75" s="326"/>
      <c r="D75" s="326"/>
      <c r="E75" s="326"/>
      <c r="F75" s="326"/>
      <c r="G75" s="324"/>
      <c r="H75" s="324"/>
      <c r="I75" s="307"/>
      <c r="J75" s="1"/>
      <c r="N75" s="9"/>
    </row>
    <row r="76" spans="1:14" x14ac:dyDescent="0.3">
      <c r="A76" s="1"/>
      <c r="B76" s="1"/>
      <c r="C76" s="326"/>
      <c r="D76" s="326"/>
      <c r="E76" s="326"/>
      <c r="F76" s="326"/>
      <c r="G76" s="324"/>
      <c r="H76" s="324"/>
      <c r="I76" s="307"/>
      <c r="J76" s="1"/>
      <c r="N76" s="9"/>
    </row>
    <row r="77" spans="1:14" x14ac:dyDescent="0.3">
      <c r="A77" s="1"/>
      <c r="B77" s="1"/>
      <c r="C77" s="326"/>
      <c r="D77" s="326"/>
      <c r="E77" s="326"/>
      <c r="F77" s="326"/>
      <c r="G77" s="324"/>
      <c r="H77" s="324"/>
      <c r="I77" s="307"/>
      <c r="J77" s="1"/>
      <c r="N77" s="9"/>
    </row>
    <row r="78" spans="1:14" x14ac:dyDescent="0.3">
      <c r="A78" s="1"/>
      <c r="B78" s="1"/>
      <c r="C78" s="326"/>
      <c r="D78" s="326"/>
      <c r="E78" s="326"/>
      <c r="F78" s="326"/>
      <c r="G78" s="324"/>
      <c r="H78" s="324"/>
      <c r="I78" s="307"/>
      <c r="J78" s="1"/>
      <c r="N78" s="9"/>
    </row>
    <row r="79" spans="1:14" x14ac:dyDescent="0.3">
      <c r="A79" s="1"/>
      <c r="B79" s="1"/>
      <c r="C79" s="326"/>
      <c r="D79" s="326"/>
      <c r="E79" s="326"/>
      <c r="F79" s="326"/>
      <c r="G79" s="324"/>
      <c r="H79" s="324"/>
      <c r="I79" s="307"/>
      <c r="J79" s="1"/>
      <c r="N79" s="9"/>
    </row>
    <row r="80" spans="1:14" x14ac:dyDescent="0.3">
      <c r="A80" s="1"/>
      <c r="B80" s="1"/>
      <c r="C80" s="326"/>
      <c r="D80" s="326"/>
      <c r="E80" s="326"/>
      <c r="F80" s="326"/>
      <c r="G80" s="324"/>
      <c r="H80" s="324"/>
      <c r="I80" s="307"/>
      <c r="J80" s="1"/>
      <c r="N80" s="9"/>
    </row>
    <row r="81" spans="1:14" x14ac:dyDescent="0.3">
      <c r="A81" s="1"/>
      <c r="B81" s="1"/>
      <c r="C81" s="326"/>
      <c r="D81" s="326"/>
      <c r="E81" s="326"/>
      <c r="F81" s="326"/>
      <c r="G81" s="324"/>
      <c r="H81" s="324"/>
      <c r="I81" s="307"/>
      <c r="J81" s="1"/>
      <c r="N81" s="9"/>
    </row>
    <row r="82" spans="1:14" x14ac:dyDescent="0.3">
      <c r="A82" s="1"/>
      <c r="B82" s="1"/>
      <c r="C82" s="326"/>
      <c r="D82" s="326"/>
      <c r="E82" s="326"/>
      <c r="F82" s="326"/>
      <c r="G82" s="324"/>
      <c r="H82" s="324"/>
      <c r="I82" s="307"/>
      <c r="J82" s="1"/>
      <c r="N82" s="9"/>
    </row>
    <row r="83" spans="1:14" x14ac:dyDescent="0.3">
      <c r="A83" s="1"/>
      <c r="B83" s="1"/>
      <c r="C83" s="326"/>
      <c r="D83" s="326"/>
      <c r="E83" s="326"/>
      <c r="F83" s="326"/>
      <c r="G83" s="324"/>
      <c r="H83" s="324"/>
      <c r="I83" s="307"/>
      <c r="J83" s="1"/>
      <c r="N83" s="9"/>
    </row>
    <row r="84" spans="1:14" x14ac:dyDescent="0.3">
      <c r="A84" s="1"/>
      <c r="B84" s="1"/>
      <c r="C84" s="326"/>
      <c r="D84" s="326"/>
      <c r="E84" s="326"/>
      <c r="F84" s="326"/>
      <c r="G84" s="324"/>
      <c r="H84" s="324"/>
      <c r="I84" s="307"/>
      <c r="J84" s="1"/>
      <c r="N84" s="9"/>
    </row>
    <row r="85" spans="1:14" x14ac:dyDescent="0.3">
      <c r="A85" s="1"/>
      <c r="B85" s="1"/>
      <c r="C85" s="326"/>
      <c r="D85" s="326"/>
      <c r="E85" s="326"/>
      <c r="F85" s="326"/>
      <c r="G85" s="324"/>
      <c r="H85" s="324"/>
      <c r="I85" s="307"/>
      <c r="J85" s="1"/>
      <c r="N85" s="9"/>
    </row>
    <row r="86" spans="1:14" x14ac:dyDescent="0.3">
      <c r="A86" s="1"/>
      <c r="B86" s="1"/>
      <c r="C86" s="326"/>
      <c r="D86" s="326"/>
      <c r="E86" s="326"/>
      <c r="F86" s="326"/>
      <c r="G86" s="324"/>
      <c r="H86" s="324"/>
      <c r="I86" s="307"/>
      <c r="J86" s="1"/>
      <c r="N86" s="9"/>
    </row>
    <row r="87" spans="1:14" x14ac:dyDescent="0.3">
      <c r="A87" s="1"/>
      <c r="B87" s="1"/>
      <c r="C87" s="326"/>
      <c r="D87" s="326"/>
      <c r="E87" s="326"/>
      <c r="F87" s="326"/>
      <c r="G87" s="324"/>
      <c r="H87" s="324"/>
      <c r="I87" s="307"/>
      <c r="J87" s="1"/>
      <c r="N87" s="9"/>
    </row>
    <row r="88" spans="1:14" x14ac:dyDescent="0.3">
      <c r="A88" s="1"/>
      <c r="B88" s="1"/>
      <c r="C88" s="326"/>
      <c r="D88" s="326"/>
      <c r="E88" s="326"/>
      <c r="F88" s="326"/>
      <c r="G88" s="324"/>
      <c r="H88" s="324"/>
      <c r="I88" s="307"/>
      <c r="J88" s="1"/>
      <c r="N88" s="9"/>
    </row>
    <row r="89" spans="1:14" x14ac:dyDescent="0.3">
      <c r="A89" s="1"/>
      <c r="B89" s="1"/>
      <c r="C89" s="326"/>
      <c r="D89" s="326"/>
      <c r="E89" s="326"/>
      <c r="F89" s="326"/>
      <c r="G89" s="324"/>
      <c r="H89" s="324"/>
      <c r="I89" s="307"/>
      <c r="J89" s="1"/>
      <c r="N89" s="9"/>
    </row>
    <row r="90" spans="1:14" x14ac:dyDescent="0.3">
      <c r="A90" s="1"/>
      <c r="B90" s="1"/>
      <c r="C90" s="326"/>
      <c r="D90" s="326"/>
      <c r="E90" s="326"/>
      <c r="F90" s="326"/>
      <c r="G90" s="324"/>
      <c r="H90" s="324"/>
      <c r="I90" s="307"/>
      <c r="J90" s="1"/>
      <c r="N90" s="9"/>
    </row>
    <row r="91" spans="1:14" x14ac:dyDescent="0.3">
      <c r="A91" s="1"/>
      <c r="B91" s="1"/>
      <c r="C91" s="326"/>
      <c r="D91" s="326"/>
      <c r="E91" s="326"/>
      <c r="F91" s="326"/>
      <c r="G91" s="324"/>
      <c r="H91" s="324"/>
      <c r="I91" s="307"/>
      <c r="J91" s="1"/>
      <c r="N91" s="9"/>
    </row>
    <row r="92" spans="1:14" x14ac:dyDescent="0.3">
      <c r="A92" s="1"/>
      <c r="B92" s="1"/>
      <c r="C92" s="326"/>
      <c r="D92" s="326"/>
      <c r="E92" s="326"/>
      <c r="F92" s="326"/>
      <c r="G92" s="324"/>
      <c r="H92" s="324"/>
      <c r="I92" s="307"/>
      <c r="J92" s="1"/>
      <c r="N92" s="9"/>
    </row>
    <row r="93" spans="1:14" x14ac:dyDescent="0.3">
      <c r="A93" s="1"/>
      <c r="B93" s="1"/>
      <c r="C93" s="326"/>
      <c r="D93" s="326"/>
      <c r="E93" s="326"/>
      <c r="F93" s="326"/>
      <c r="G93" s="324"/>
      <c r="H93" s="324"/>
      <c r="I93" s="307"/>
      <c r="J93" s="1"/>
      <c r="N93" s="9"/>
    </row>
    <row r="94" spans="1:14" x14ac:dyDescent="0.3">
      <c r="A94" s="1"/>
      <c r="B94" s="1"/>
      <c r="C94" s="326"/>
      <c r="D94" s="326"/>
      <c r="E94" s="326"/>
      <c r="F94" s="326"/>
      <c r="G94" s="324"/>
      <c r="H94" s="324"/>
      <c r="I94" s="307"/>
      <c r="J94" s="1"/>
      <c r="N94" s="9"/>
    </row>
    <row r="95" spans="1:14" x14ac:dyDescent="0.3">
      <c r="A95" s="1"/>
      <c r="B95" s="1"/>
      <c r="C95" s="326"/>
      <c r="D95" s="326"/>
      <c r="E95" s="326"/>
      <c r="F95" s="326"/>
      <c r="G95" s="324"/>
      <c r="H95" s="324"/>
      <c r="I95" s="307"/>
      <c r="J95" s="1"/>
      <c r="N95" s="9"/>
    </row>
    <row r="96" spans="1:14" x14ac:dyDescent="0.3">
      <c r="A96" s="1"/>
      <c r="B96" s="1"/>
      <c r="C96" s="326"/>
      <c r="D96" s="326"/>
      <c r="E96" s="326"/>
      <c r="F96" s="326"/>
      <c r="G96" s="324"/>
      <c r="H96" s="324"/>
      <c r="I96" s="307"/>
      <c r="J96" s="1"/>
      <c r="N96" s="9"/>
    </row>
    <row r="97" spans="1:14" x14ac:dyDescent="0.3">
      <c r="A97" s="1"/>
      <c r="B97" s="1"/>
      <c r="C97" s="326"/>
      <c r="D97" s="326"/>
      <c r="E97" s="326"/>
      <c r="F97" s="326"/>
      <c r="G97" s="324"/>
      <c r="H97" s="324"/>
      <c r="I97" s="307"/>
      <c r="J97" s="1"/>
      <c r="N97" s="9"/>
    </row>
    <row r="98" spans="1:14" x14ac:dyDescent="0.3">
      <c r="A98" s="1"/>
      <c r="B98" s="1"/>
      <c r="C98" s="326"/>
      <c r="D98" s="326"/>
      <c r="E98" s="326"/>
      <c r="F98" s="326"/>
      <c r="G98" s="324"/>
      <c r="H98" s="324"/>
      <c r="I98" s="307"/>
      <c r="J98" s="1"/>
      <c r="N98" s="9"/>
    </row>
    <row r="99" spans="1:14" x14ac:dyDescent="0.3">
      <c r="A99" s="1"/>
      <c r="B99" s="1"/>
      <c r="C99" s="326"/>
      <c r="D99" s="326"/>
      <c r="E99" s="326"/>
      <c r="F99" s="326"/>
      <c r="G99" s="324"/>
      <c r="H99" s="324"/>
      <c r="I99" s="307"/>
      <c r="J99" s="1"/>
      <c r="N99" s="9"/>
    </row>
    <row r="100" spans="1:14" x14ac:dyDescent="0.3">
      <c r="A100" s="1"/>
      <c r="B100" s="1"/>
      <c r="C100" s="326"/>
      <c r="D100" s="326"/>
      <c r="E100" s="326"/>
      <c r="F100" s="326"/>
      <c r="G100" s="324"/>
      <c r="H100" s="324"/>
      <c r="I100" s="307"/>
      <c r="J100" s="1"/>
      <c r="N100" s="9"/>
    </row>
    <row r="101" spans="1:14" x14ac:dyDescent="0.3">
      <c r="A101" s="1"/>
      <c r="B101" s="1"/>
      <c r="C101" s="326"/>
      <c r="D101" s="326"/>
      <c r="E101" s="326"/>
      <c r="F101" s="326"/>
      <c r="G101" s="324"/>
      <c r="H101" s="324"/>
      <c r="I101" s="307"/>
      <c r="J101" s="1"/>
      <c r="N101" s="9"/>
    </row>
    <row r="102" spans="1:14" x14ac:dyDescent="0.3">
      <c r="A102" s="1"/>
      <c r="B102" s="1"/>
      <c r="C102" s="326"/>
      <c r="D102" s="326"/>
      <c r="E102" s="326"/>
      <c r="F102" s="326"/>
      <c r="G102" s="324"/>
      <c r="H102" s="324"/>
      <c r="I102" s="307"/>
      <c r="J102" s="1"/>
      <c r="N102" s="9"/>
    </row>
    <row r="103" spans="1:14" x14ac:dyDescent="0.3">
      <c r="A103" s="1"/>
      <c r="B103" s="1"/>
      <c r="C103" s="326"/>
      <c r="D103" s="326"/>
      <c r="E103" s="326"/>
      <c r="F103" s="326"/>
      <c r="G103" s="324"/>
      <c r="H103" s="324"/>
      <c r="I103" s="307"/>
      <c r="J103" s="1"/>
      <c r="N103" s="9"/>
    </row>
    <row r="104" spans="1:14" x14ac:dyDescent="0.3">
      <c r="A104" s="1"/>
      <c r="B104" s="1"/>
      <c r="C104" s="326"/>
      <c r="D104" s="326"/>
      <c r="E104" s="326"/>
      <c r="F104" s="326"/>
      <c r="G104" s="324"/>
      <c r="H104" s="324"/>
      <c r="I104" s="307"/>
      <c r="J104" s="1"/>
      <c r="N104" s="9"/>
    </row>
    <row r="105" spans="1:14" x14ac:dyDescent="0.3">
      <c r="A105" s="1"/>
      <c r="B105" s="1"/>
      <c r="C105" s="326"/>
      <c r="D105" s="326"/>
      <c r="E105" s="326"/>
      <c r="F105" s="326"/>
      <c r="G105" s="324"/>
      <c r="H105" s="324"/>
      <c r="I105" s="307"/>
      <c r="J105" s="1"/>
      <c r="N105" s="9"/>
    </row>
    <row r="106" spans="1:14" x14ac:dyDescent="0.3">
      <c r="A106" s="1"/>
      <c r="B106" s="1"/>
      <c r="C106" s="326"/>
      <c r="D106" s="326"/>
      <c r="E106" s="326"/>
      <c r="F106" s="326"/>
      <c r="G106" s="324"/>
      <c r="H106" s="324"/>
      <c r="I106" s="307"/>
      <c r="J106" s="1"/>
      <c r="N106" s="9"/>
    </row>
    <row r="107" spans="1:14" x14ac:dyDescent="0.3">
      <c r="A107" s="1"/>
      <c r="B107" s="1"/>
      <c r="C107" s="326"/>
      <c r="D107" s="326"/>
      <c r="E107" s="326"/>
      <c r="F107" s="326"/>
      <c r="G107" s="324"/>
      <c r="H107" s="324"/>
      <c r="I107" s="307"/>
      <c r="J107" s="1"/>
      <c r="N107" s="9"/>
    </row>
    <row r="108" spans="1:14" x14ac:dyDescent="0.3">
      <c r="A108" s="1"/>
      <c r="B108" s="1"/>
      <c r="C108" s="326"/>
      <c r="D108" s="326"/>
      <c r="E108" s="326"/>
      <c r="F108" s="326"/>
      <c r="G108" s="324"/>
      <c r="H108" s="324"/>
      <c r="I108" s="307"/>
      <c r="J108" s="1"/>
      <c r="N108" s="9"/>
    </row>
    <row r="109" spans="1:14" x14ac:dyDescent="0.3">
      <c r="N109" s="9"/>
    </row>
    <row r="110" spans="1:14" x14ac:dyDescent="0.3">
      <c r="N110" s="9"/>
    </row>
    <row r="111" spans="1:14" x14ac:dyDescent="0.3">
      <c r="N111" s="9"/>
    </row>
    <row r="112" spans="1:14" x14ac:dyDescent="0.3">
      <c r="N112" s="9"/>
    </row>
    <row r="113" spans="14:14" x14ac:dyDescent="0.3">
      <c r="N113" s="9"/>
    </row>
    <row r="114" spans="14:14" x14ac:dyDescent="0.3">
      <c r="N114" s="9"/>
    </row>
    <row r="115" spans="14:14" x14ac:dyDescent="0.3">
      <c r="N115" s="9"/>
    </row>
    <row r="116" spans="14:14" x14ac:dyDescent="0.3">
      <c r="N116" s="9"/>
    </row>
    <row r="117" spans="14:14" x14ac:dyDescent="0.3">
      <c r="N117" s="9"/>
    </row>
    <row r="118" spans="14:14" x14ac:dyDescent="0.3">
      <c r="N118" s="9"/>
    </row>
    <row r="119" spans="14:14" x14ac:dyDescent="0.3">
      <c r="N119" s="9"/>
    </row>
    <row r="120" spans="14:14" x14ac:dyDescent="0.3">
      <c r="N120" s="9"/>
    </row>
    <row r="121" spans="14:14" x14ac:dyDescent="0.3">
      <c r="N121" s="9"/>
    </row>
    <row r="122" spans="14:14" x14ac:dyDescent="0.3">
      <c r="N122" s="9"/>
    </row>
    <row r="123" spans="14:14" x14ac:dyDescent="0.3">
      <c r="N123" s="9"/>
    </row>
    <row r="124" spans="14:14" x14ac:dyDescent="0.3">
      <c r="N124" s="9"/>
    </row>
    <row r="125" spans="14:14" x14ac:dyDescent="0.3">
      <c r="N125" s="9"/>
    </row>
    <row r="126" spans="14:14" x14ac:dyDescent="0.3">
      <c r="N126" s="9"/>
    </row>
    <row r="127" spans="14:14" x14ac:dyDescent="0.3">
      <c r="N127" s="9"/>
    </row>
    <row r="128" spans="14:14" x14ac:dyDescent="0.3">
      <c r="N128" s="9"/>
    </row>
    <row r="129" spans="14:14" x14ac:dyDescent="0.3">
      <c r="N129" s="9"/>
    </row>
    <row r="130" spans="14:14" x14ac:dyDescent="0.3">
      <c r="N130" s="9"/>
    </row>
    <row r="131" spans="14:14" x14ac:dyDescent="0.3">
      <c r="N131" s="9"/>
    </row>
    <row r="132" spans="14:14" x14ac:dyDescent="0.3">
      <c r="N132" s="9"/>
    </row>
    <row r="133" spans="14:14" x14ac:dyDescent="0.3">
      <c r="N133" s="9"/>
    </row>
    <row r="134" spans="14:14" x14ac:dyDescent="0.3">
      <c r="N134" s="9"/>
    </row>
    <row r="135" spans="14:14" x14ac:dyDescent="0.3">
      <c r="N135" s="9"/>
    </row>
    <row r="136" spans="14:14" x14ac:dyDescent="0.3">
      <c r="N136" s="9"/>
    </row>
    <row r="137" spans="14:14" x14ac:dyDescent="0.3">
      <c r="N137" s="9"/>
    </row>
    <row r="138" spans="14:14" x14ac:dyDescent="0.3">
      <c r="N138" s="9"/>
    </row>
    <row r="139" spans="14:14" x14ac:dyDescent="0.3">
      <c r="N139" s="9"/>
    </row>
    <row r="140" spans="14:14" x14ac:dyDescent="0.3">
      <c r="N140" s="9"/>
    </row>
    <row r="141" spans="14:14" x14ac:dyDescent="0.3">
      <c r="N141" s="9"/>
    </row>
    <row r="142" spans="14:14" x14ac:dyDescent="0.3">
      <c r="N142" s="9"/>
    </row>
    <row r="143" spans="14:14" x14ac:dyDescent="0.3">
      <c r="N143" s="9"/>
    </row>
    <row r="144" spans="14:14" x14ac:dyDescent="0.3">
      <c r="N144" s="9"/>
    </row>
    <row r="145" spans="14:14" x14ac:dyDescent="0.3">
      <c r="N145" s="9"/>
    </row>
    <row r="146" spans="14:14" x14ac:dyDescent="0.3">
      <c r="N146" s="9"/>
    </row>
    <row r="147" spans="14:14" x14ac:dyDescent="0.3">
      <c r="N147" s="9"/>
    </row>
    <row r="148" spans="14:14" x14ac:dyDescent="0.3">
      <c r="N148" s="9"/>
    </row>
    <row r="149" spans="14:14" x14ac:dyDescent="0.3">
      <c r="N149" s="9"/>
    </row>
    <row r="150" spans="14:14" x14ac:dyDescent="0.3">
      <c r="N150" s="9"/>
    </row>
    <row r="151" spans="14:14" x14ac:dyDescent="0.3">
      <c r="N151" s="9"/>
    </row>
    <row r="152" spans="14:14" x14ac:dyDescent="0.3">
      <c r="N152" s="9"/>
    </row>
    <row r="153" spans="14:14" x14ac:dyDescent="0.3">
      <c r="N153" s="9"/>
    </row>
    <row r="154" spans="14:14" x14ac:dyDescent="0.3">
      <c r="N154" s="9"/>
    </row>
    <row r="155" spans="14:14" x14ac:dyDescent="0.3">
      <c r="N155" s="9"/>
    </row>
    <row r="156" spans="14:14" x14ac:dyDescent="0.3">
      <c r="N156" s="9"/>
    </row>
    <row r="157" spans="14:14" x14ac:dyDescent="0.3">
      <c r="N157" s="9"/>
    </row>
    <row r="158" spans="14:14" x14ac:dyDescent="0.3">
      <c r="N158" s="9"/>
    </row>
    <row r="159" spans="14:14" x14ac:dyDescent="0.3">
      <c r="N159" s="9"/>
    </row>
    <row r="160" spans="14:14" x14ac:dyDescent="0.3">
      <c r="N160" s="9"/>
    </row>
    <row r="161" spans="14:14" x14ac:dyDescent="0.3">
      <c r="N161" s="9"/>
    </row>
    <row r="162" spans="14:14" x14ac:dyDescent="0.3">
      <c r="N162" s="9"/>
    </row>
    <row r="163" spans="14:14" x14ac:dyDescent="0.3">
      <c r="N163" s="9"/>
    </row>
    <row r="164" spans="14:14" x14ac:dyDescent="0.3">
      <c r="N164" s="9"/>
    </row>
    <row r="165" spans="14:14" x14ac:dyDescent="0.3">
      <c r="N165" s="9"/>
    </row>
    <row r="166" spans="14:14" x14ac:dyDescent="0.3">
      <c r="N166" s="9"/>
    </row>
    <row r="167" spans="14:14" x14ac:dyDescent="0.3">
      <c r="N167" s="9"/>
    </row>
    <row r="168" spans="14:14" x14ac:dyDescent="0.3">
      <c r="N168" s="9"/>
    </row>
    <row r="169" spans="14:14" x14ac:dyDescent="0.3">
      <c r="N169" s="9"/>
    </row>
    <row r="170" spans="14:14" x14ac:dyDescent="0.3">
      <c r="N170" s="9"/>
    </row>
    <row r="171" spans="14:14" x14ac:dyDescent="0.3">
      <c r="N171" s="9"/>
    </row>
    <row r="172" spans="14:14" x14ac:dyDescent="0.3">
      <c r="N172" s="9"/>
    </row>
    <row r="173" spans="14:14" x14ac:dyDescent="0.3">
      <c r="N173" s="9"/>
    </row>
    <row r="174" spans="14:14" x14ac:dyDescent="0.3">
      <c r="N174" s="9"/>
    </row>
    <row r="175" spans="14:14" x14ac:dyDescent="0.3">
      <c r="N175" s="9"/>
    </row>
    <row r="176" spans="14:14" x14ac:dyDescent="0.3">
      <c r="N176" s="9"/>
    </row>
    <row r="177" spans="14:14" x14ac:dyDescent="0.3">
      <c r="N177" s="9"/>
    </row>
    <row r="178" spans="14:14" x14ac:dyDescent="0.3">
      <c r="N178" s="9"/>
    </row>
    <row r="179" spans="14:14" x14ac:dyDescent="0.3">
      <c r="N179" s="9"/>
    </row>
    <row r="180" spans="14:14" x14ac:dyDescent="0.3">
      <c r="N180" s="9"/>
    </row>
    <row r="181" spans="14:14" x14ac:dyDescent="0.3">
      <c r="N181" s="9"/>
    </row>
    <row r="182" spans="14:14" x14ac:dyDescent="0.3">
      <c r="N182" s="9"/>
    </row>
    <row r="183" spans="14:14" x14ac:dyDescent="0.3">
      <c r="N183" s="9"/>
    </row>
    <row r="184" spans="14:14" x14ac:dyDescent="0.3">
      <c r="N184" s="9"/>
    </row>
    <row r="185" spans="14:14" x14ac:dyDescent="0.3">
      <c r="N185" s="9"/>
    </row>
    <row r="186" spans="14:14" x14ac:dyDescent="0.3">
      <c r="N186" s="9"/>
    </row>
    <row r="187" spans="14:14" x14ac:dyDescent="0.3">
      <c r="N187" s="9"/>
    </row>
    <row r="188" spans="14:14" x14ac:dyDescent="0.3">
      <c r="N188" s="9"/>
    </row>
    <row r="189" spans="14:14" x14ac:dyDescent="0.3">
      <c r="N189" s="9"/>
    </row>
    <row r="190" spans="14:14" x14ac:dyDescent="0.3">
      <c r="N190" s="9"/>
    </row>
    <row r="191" spans="14:14" x14ac:dyDescent="0.3">
      <c r="N191" s="9"/>
    </row>
    <row r="192" spans="14:14" x14ac:dyDescent="0.3">
      <c r="N192" s="9"/>
    </row>
    <row r="193" spans="14:14" x14ac:dyDescent="0.3">
      <c r="N193" s="9"/>
    </row>
    <row r="194" spans="14:14" x14ac:dyDescent="0.3">
      <c r="N194" s="9"/>
    </row>
    <row r="195" spans="14:14" x14ac:dyDescent="0.3">
      <c r="N195" s="9"/>
    </row>
    <row r="196" spans="14:14" x14ac:dyDescent="0.3">
      <c r="N196" s="9"/>
    </row>
    <row r="197" spans="14:14" x14ac:dyDescent="0.3">
      <c r="N197" s="9"/>
    </row>
    <row r="198" spans="14:14" x14ac:dyDescent="0.3">
      <c r="N198" s="9"/>
    </row>
    <row r="199" spans="14:14" x14ac:dyDescent="0.3">
      <c r="N199" s="9"/>
    </row>
    <row r="200" spans="14:14" x14ac:dyDescent="0.3">
      <c r="N200" s="9"/>
    </row>
    <row r="201" spans="14:14" x14ac:dyDescent="0.3">
      <c r="N201" s="9"/>
    </row>
    <row r="202" spans="14:14" x14ac:dyDescent="0.3">
      <c r="N202" s="9"/>
    </row>
    <row r="203" spans="14:14" x14ac:dyDescent="0.3">
      <c r="N203" s="9"/>
    </row>
    <row r="204" spans="14:14" x14ac:dyDescent="0.3">
      <c r="N204" s="9"/>
    </row>
    <row r="205" spans="14:14" x14ac:dyDescent="0.3">
      <c r="N205" s="9"/>
    </row>
    <row r="206" spans="14:14" x14ac:dyDescent="0.3">
      <c r="N206" s="9"/>
    </row>
    <row r="207" spans="14:14" x14ac:dyDescent="0.3">
      <c r="N207" s="9"/>
    </row>
    <row r="208" spans="14:14" x14ac:dyDescent="0.3">
      <c r="N208" s="9"/>
    </row>
    <row r="209" spans="14:14" x14ac:dyDescent="0.3">
      <c r="N209" s="9"/>
    </row>
    <row r="210" spans="14:14" x14ac:dyDescent="0.3">
      <c r="N210" s="9"/>
    </row>
    <row r="211" spans="14:14" x14ac:dyDescent="0.3">
      <c r="N211" s="9"/>
    </row>
    <row r="212" spans="14:14" x14ac:dyDescent="0.3">
      <c r="N212" s="9"/>
    </row>
    <row r="213" spans="14:14" x14ac:dyDescent="0.3">
      <c r="N213" s="9"/>
    </row>
    <row r="214" spans="14:14" x14ac:dyDescent="0.3">
      <c r="N214" s="9"/>
    </row>
    <row r="215" spans="14:14" x14ac:dyDescent="0.3">
      <c r="N215" s="9"/>
    </row>
    <row r="216" spans="14:14" x14ac:dyDescent="0.3">
      <c r="N216" s="9"/>
    </row>
    <row r="217" spans="14:14" x14ac:dyDescent="0.3">
      <c r="N217" s="9"/>
    </row>
    <row r="218" spans="14:14" x14ac:dyDescent="0.3">
      <c r="N218" s="9"/>
    </row>
    <row r="219" spans="14:14" x14ac:dyDescent="0.3">
      <c r="N219" s="9"/>
    </row>
    <row r="220" spans="14:14" x14ac:dyDescent="0.3">
      <c r="N220" s="9"/>
    </row>
    <row r="221" spans="14:14" x14ac:dyDescent="0.3">
      <c r="N221" s="9"/>
    </row>
    <row r="222" spans="14:14" x14ac:dyDescent="0.3">
      <c r="N222" s="9"/>
    </row>
    <row r="223" spans="14:14" x14ac:dyDescent="0.3">
      <c r="N223" s="9"/>
    </row>
    <row r="224" spans="14:14" x14ac:dyDescent="0.3">
      <c r="N224" s="9"/>
    </row>
    <row r="225" spans="14:14" x14ac:dyDescent="0.3">
      <c r="N225" s="9"/>
    </row>
    <row r="226" spans="14:14" x14ac:dyDescent="0.3">
      <c r="N226" s="9"/>
    </row>
    <row r="227" spans="14:14" x14ac:dyDescent="0.3">
      <c r="N227" s="9"/>
    </row>
    <row r="228" spans="14:14" x14ac:dyDescent="0.3">
      <c r="N228" s="9"/>
    </row>
    <row r="229" spans="14:14" x14ac:dyDescent="0.3">
      <c r="N229" s="9"/>
    </row>
    <row r="230" spans="14:14" x14ac:dyDescent="0.3">
      <c r="N230" s="9"/>
    </row>
    <row r="231" spans="14:14" x14ac:dyDescent="0.3">
      <c r="N231" s="9"/>
    </row>
    <row r="232" spans="14:14" x14ac:dyDescent="0.3">
      <c r="N232" s="9"/>
    </row>
    <row r="233" spans="14:14" x14ac:dyDescent="0.3">
      <c r="N233" s="9"/>
    </row>
    <row r="234" spans="14:14" x14ac:dyDescent="0.3">
      <c r="N234" s="9"/>
    </row>
    <row r="235" spans="14:14" x14ac:dyDescent="0.3">
      <c r="N235" s="9"/>
    </row>
    <row r="236" spans="14:14" x14ac:dyDescent="0.3">
      <c r="N236" s="9"/>
    </row>
    <row r="237" spans="14:14" x14ac:dyDescent="0.3">
      <c r="N237" s="9"/>
    </row>
    <row r="238" spans="14:14" x14ac:dyDescent="0.3">
      <c r="N238" s="9"/>
    </row>
    <row r="239" spans="14:14" x14ac:dyDescent="0.3">
      <c r="N239" s="9"/>
    </row>
    <row r="240" spans="14:14" x14ac:dyDescent="0.3">
      <c r="N240" s="9"/>
    </row>
    <row r="241" spans="14:14" x14ac:dyDescent="0.3">
      <c r="N241" s="9"/>
    </row>
    <row r="242" spans="14:14" x14ac:dyDescent="0.3">
      <c r="N242" s="9"/>
    </row>
    <row r="243" spans="14:14" x14ac:dyDescent="0.3">
      <c r="N243" s="9"/>
    </row>
    <row r="244" spans="14:14" x14ac:dyDescent="0.3">
      <c r="N244" s="9"/>
    </row>
    <row r="245" spans="14:14" x14ac:dyDescent="0.3">
      <c r="N245" s="9"/>
    </row>
    <row r="246" spans="14:14" x14ac:dyDescent="0.3">
      <c r="N246" s="9"/>
    </row>
    <row r="247" spans="14:14" x14ac:dyDescent="0.3">
      <c r="N247" s="9"/>
    </row>
    <row r="248" spans="14:14" x14ac:dyDescent="0.3">
      <c r="N248" s="9"/>
    </row>
    <row r="249" spans="14:14" x14ac:dyDescent="0.3">
      <c r="N249" s="9"/>
    </row>
    <row r="250" spans="14:14" x14ac:dyDescent="0.3">
      <c r="N250" s="9"/>
    </row>
    <row r="251" spans="14:14" x14ac:dyDescent="0.3">
      <c r="N251" s="9"/>
    </row>
    <row r="252" spans="14:14" x14ac:dyDescent="0.3">
      <c r="N252" s="9"/>
    </row>
    <row r="253" spans="14:14" x14ac:dyDescent="0.3">
      <c r="N253" s="9"/>
    </row>
    <row r="254" spans="14:14" x14ac:dyDescent="0.3">
      <c r="N254" s="9"/>
    </row>
    <row r="255" spans="14:14" x14ac:dyDescent="0.3">
      <c r="N255" s="9"/>
    </row>
    <row r="256" spans="14:14" x14ac:dyDescent="0.3">
      <c r="N256" s="9"/>
    </row>
    <row r="257" spans="14:14" x14ac:dyDescent="0.3">
      <c r="N257" s="9"/>
    </row>
    <row r="258" spans="14:14" x14ac:dyDescent="0.3">
      <c r="N258" s="9"/>
    </row>
    <row r="259" spans="14:14" x14ac:dyDescent="0.3">
      <c r="N259" s="9"/>
    </row>
    <row r="260" spans="14:14" x14ac:dyDescent="0.3">
      <c r="N260" s="9"/>
    </row>
    <row r="261" spans="14:14" x14ac:dyDescent="0.3">
      <c r="N261" s="9"/>
    </row>
    <row r="262" spans="14:14" x14ac:dyDescent="0.3">
      <c r="N262" s="9"/>
    </row>
    <row r="263" spans="14:14" x14ac:dyDescent="0.3">
      <c r="N263" s="9"/>
    </row>
    <row r="264" spans="14:14" x14ac:dyDescent="0.3">
      <c r="N264" s="9"/>
    </row>
    <row r="265" spans="14:14" x14ac:dyDescent="0.3">
      <c r="N265" s="9"/>
    </row>
    <row r="266" spans="14:14" x14ac:dyDescent="0.3">
      <c r="N266" s="9"/>
    </row>
    <row r="267" spans="14:14" x14ac:dyDescent="0.3">
      <c r="N267" s="9"/>
    </row>
    <row r="268" spans="14:14" x14ac:dyDescent="0.3">
      <c r="N268" s="9"/>
    </row>
    <row r="269" spans="14:14" x14ac:dyDescent="0.3">
      <c r="N269" s="9"/>
    </row>
    <row r="270" spans="14:14" x14ac:dyDescent="0.3">
      <c r="N270" s="9"/>
    </row>
    <row r="271" spans="14:14" x14ac:dyDescent="0.3">
      <c r="N271" s="9"/>
    </row>
    <row r="272" spans="14:14" x14ac:dyDescent="0.3">
      <c r="N272" s="9"/>
    </row>
    <row r="273" spans="14:14" x14ac:dyDescent="0.3">
      <c r="N273" s="9"/>
    </row>
    <row r="274" spans="14:14" x14ac:dyDescent="0.3">
      <c r="N274" s="9"/>
    </row>
    <row r="275" spans="14:14" x14ac:dyDescent="0.3">
      <c r="N275" s="9"/>
    </row>
    <row r="276" spans="14:14" x14ac:dyDescent="0.3">
      <c r="N276" s="9"/>
    </row>
    <row r="277" spans="14:14" x14ac:dyDescent="0.3">
      <c r="N277" s="9"/>
    </row>
    <row r="278" spans="14:14" x14ac:dyDescent="0.3">
      <c r="N278" s="9"/>
    </row>
    <row r="279" spans="14:14" x14ac:dyDescent="0.3">
      <c r="N279" s="9"/>
    </row>
    <row r="280" spans="14:14" x14ac:dyDescent="0.3">
      <c r="N280" s="9"/>
    </row>
    <row r="281" spans="14:14" x14ac:dyDescent="0.3">
      <c r="N281" s="9"/>
    </row>
    <row r="282" spans="14:14" x14ac:dyDescent="0.3">
      <c r="N282" s="9"/>
    </row>
    <row r="283" spans="14:14" x14ac:dyDescent="0.3">
      <c r="N283" s="9"/>
    </row>
    <row r="284" spans="14:14" x14ac:dyDescent="0.3">
      <c r="N284" s="9"/>
    </row>
    <row r="285" spans="14:14" x14ac:dyDescent="0.3">
      <c r="N285" s="9"/>
    </row>
    <row r="286" spans="14:14" x14ac:dyDescent="0.3">
      <c r="N286" s="9"/>
    </row>
    <row r="287" spans="14:14" x14ac:dyDescent="0.3">
      <c r="N287" s="9"/>
    </row>
    <row r="288" spans="14:14" x14ac:dyDescent="0.3">
      <c r="N288" s="9"/>
    </row>
    <row r="289" spans="14:14" x14ac:dyDescent="0.3">
      <c r="N289" s="9"/>
    </row>
    <row r="290" spans="14:14" x14ac:dyDescent="0.3">
      <c r="N290" s="9"/>
    </row>
    <row r="291" spans="14:14" x14ac:dyDescent="0.3">
      <c r="N291" s="9"/>
    </row>
    <row r="292" spans="14:14" x14ac:dyDescent="0.3">
      <c r="N292" s="9"/>
    </row>
    <row r="293" spans="14:14" x14ac:dyDescent="0.3">
      <c r="N293" s="9"/>
    </row>
    <row r="294" spans="14:14" x14ac:dyDescent="0.3">
      <c r="N294" s="9"/>
    </row>
    <row r="295" spans="14:14" x14ac:dyDescent="0.3">
      <c r="N295" s="9"/>
    </row>
    <row r="296" spans="14:14" x14ac:dyDescent="0.3">
      <c r="N296" s="9"/>
    </row>
    <row r="297" spans="14:14" x14ac:dyDescent="0.3">
      <c r="N297" s="9"/>
    </row>
    <row r="298" spans="14:14" x14ac:dyDescent="0.3">
      <c r="N298" s="9"/>
    </row>
    <row r="299" spans="14:14" x14ac:dyDescent="0.3">
      <c r="N299" s="9"/>
    </row>
    <row r="300" spans="14:14" x14ac:dyDescent="0.3">
      <c r="N300" s="9"/>
    </row>
    <row r="301" spans="14:14" x14ac:dyDescent="0.3">
      <c r="N301" s="9"/>
    </row>
    <row r="302" spans="14:14" x14ac:dyDescent="0.3">
      <c r="N302" s="9"/>
    </row>
    <row r="303" spans="14:14" x14ac:dyDescent="0.3">
      <c r="N303" s="9"/>
    </row>
    <row r="304" spans="14:14" x14ac:dyDescent="0.3">
      <c r="N304" s="9"/>
    </row>
    <row r="305" spans="14:14" x14ac:dyDescent="0.3">
      <c r="N305" s="9"/>
    </row>
    <row r="306" spans="14:14" x14ac:dyDescent="0.3">
      <c r="N306" s="9"/>
    </row>
    <row r="307" spans="14:14" x14ac:dyDescent="0.3">
      <c r="N307" s="9"/>
    </row>
    <row r="308" spans="14:14" x14ac:dyDescent="0.3">
      <c r="N308" s="9"/>
    </row>
    <row r="309" spans="14:14" x14ac:dyDescent="0.3">
      <c r="N309" s="9"/>
    </row>
    <row r="310" spans="14:14" x14ac:dyDescent="0.3">
      <c r="N310" s="9"/>
    </row>
    <row r="311" spans="14:14" x14ac:dyDescent="0.3">
      <c r="N311" s="9"/>
    </row>
    <row r="312" spans="14:14" x14ac:dyDescent="0.3">
      <c r="N312" s="9"/>
    </row>
    <row r="313" spans="14:14" x14ac:dyDescent="0.3">
      <c r="N313" s="9"/>
    </row>
    <row r="314" spans="14:14" x14ac:dyDescent="0.3">
      <c r="N314" s="9"/>
    </row>
    <row r="315" spans="14:14" x14ac:dyDescent="0.3">
      <c r="N315" s="9"/>
    </row>
    <row r="316" spans="14:14" x14ac:dyDescent="0.3">
      <c r="N316" s="9"/>
    </row>
    <row r="317" spans="14:14" x14ac:dyDescent="0.3">
      <c r="N317" s="9"/>
    </row>
    <row r="318" spans="14:14" x14ac:dyDescent="0.3">
      <c r="N318" s="9"/>
    </row>
    <row r="319" spans="14:14" x14ac:dyDescent="0.3">
      <c r="N319" s="9"/>
    </row>
    <row r="320" spans="14:14" x14ac:dyDescent="0.3">
      <c r="N320" s="9"/>
    </row>
    <row r="321" spans="14:14" x14ac:dyDescent="0.3">
      <c r="N321" s="9"/>
    </row>
    <row r="322" spans="14:14" x14ac:dyDescent="0.3">
      <c r="N322" s="9"/>
    </row>
    <row r="323" spans="14:14" x14ac:dyDescent="0.3">
      <c r="N323" s="9"/>
    </row>
    <row r="324" spans="14:14" x14ac:dyDescent="0.3">
      <c r="N324" s="9"/>
    </row>
    <row r="325" spans="14:14" x14ac:dyDescent="0.3">
      <c r="N325" s="9"/>
    </row>
    <row r="326" spans="14:14" x14ac:dyDescent="0.3">
      <c r="N326" s="9"/>
    </row>
    <row r="327" spans="14:14" x14ac:dyDescent="0.3">
      <c r="N327" s="9"/>
    </row>
    <row r="328" spans="14:14" x14ac:dyDescent="0.3">
      <c r="N328" s="9"/>
    </row>
    <row r="329" spans="14:14" x14ac:dyDescent="0.3">
      <c r="N329" s="9"/>
    </row>
    <row r="330" spans="14:14" x14ac:dyDescent="0.3">
      <c r="N330" s="9"/>
    </row>
    <row r="331" spans="14:14" x14ac:dyDescent="0.3">
      <c r="N331" s="9"/>
    </row>
    <row r="332" spans="14:14" x14ac:dyDescent="0.3">
      <c r="N332" s="9"/>
    </row>
    <row r="333" spans="14:14" x14ac:dyDescent="0.3">
      <c r="N333" s="9"/>
    </row>
    <row r="334" spans="14:14" x14ac:dyDescent="0.3">
      <c r="N334" s="9"/>
    </row>
    <row r="335" spans="14:14" x14ac:dyDescent="0.3">
      <c r="N335" s="9"/>
    </row>
    <row r="336" spans="14:14" x14ac:dyDescent="0.3">
      <c r="N336" s="9"/>
    </row>
    <row r="337" spans="14:14" x14ac:dyDescent="0.3">
      <c r="N337" s="9"/>
    </row>
    <row r="338" spans="14:14" x14ac:dyDescent="0.3">
      <c r="N338" s="9"/>
    </row>
    <row r="339" spans="14:14" x14ac:dyDescent="0.3">
      <c r="N339" s="9"/>
    </row>
    <row r="340" spans="14:14" x14ac:dyDescent="0.3">
      <c r="N340" s="9"/>
    </row>
    <row r="341" spans="14:14" x14ac:dyDescent="0.3">
      <c r="N341" s="9"/>
    </row>
    <row r="342" spans="14:14" x14ac:dyDescent="0.3">
      <c r="N342" s="9"/>
    </row>
    <row r="343" spans="14:14" x14ac:dyDescent="0.3">
      <c r="N343" s="9"/>
    </row>
    <row r="344" spans="14:14" x14ac:dyDescent="0.3">
      <c r="N344" s="9"/>
    </row>
    <row r="345" spans="14:14" x14ac:dyDescent="0.3">
      <c r="N345" s="9"/>
    </row>
    <row r="346" spans="14:14" x14ac:dyDescent="0.3">
      <c r="N346" s="9"/>
    </row>
    <row r="347" spans="14:14" x14ac:dyDescent="0.3">
      <c r="N347" s="9"/>
    </row>
    <row r="348" spans="14:14" x14ac:dyDescent="0.3">
      <c r="N348" s="9"/>
    </row>
    <row r="349" spans="14:14" x14ac:dyDescent="0.3">
      <c r="N349" s="9"/>
    </row>
    <row r="350" spans="14:14" x14ac:dyDescent="0.3">
      <c r="N350" s="9"/>
    </row>
    <row r="351" spans="14:14" x14ac:dyDescent="0.3">
      <c r="N351" s="9"/>
    </row>
    <row r="352" spans="14:14" x14ac:dyDescent="0.3">
      <c r="N352" s="9"/>
    </row>
    <row r="353" spans="14:14" x14ac:dyDescent="0.3">
      <c r="N353" s="9"/>
    </row>
    <row r="354" spans="14:14" x14ac:dyDescent="0.3">
      <c r="N354" s="9"/>
    </row>
    <row r="355" spans="14:14" x14ac:dyDescent="0.3">
      <c r="N355" s="9"/>
    </row>
    <row r="356" spans="14:14" x14ac:dyDescent="0.3">
      <c r="N356" s="9"/>
    </row>
    <row r="357" spans="14:14" x14ac:dyDescent="0.3">
      <c r="N357" s="9"/>
    </row>
    <row r="358" spans="14:14" x14ac:dyDescent="0.3">
      <c r="N358" s="9"/>
    </row>
    <row r="359" spans="14:14" x14ac:dyDescent="0.3">
      <c r="N359" s="9"/>
    </row>
    <row r="360" spans="14:14" x14ac:dyDescent="0.3">
      <c r="N360" s="9"/>
    </row>
    <row r="361" spans="14:14" x14ac:dyDescent="0.3">
      <c r="N361" s="9"/>
    </row>
    <row r="362" spans="14:14" x14ac:dyDescent="0.3">
      <c r="N362" s="9"/>
    </row>
    <row r="363" spans="14:14" x14ac:dyDescent="0.3">
      <c r="N363" s="9"/>
    </row>
    <row r="364" spans="14:14" x14ac:dyDescent="0.3">
      <c r="N364" s="9"/>
    </row>
    <row r="365" spans="14:14" x14ac:dyDescent="0.3">
      <c r="N365" s="9"/>
    </row>
    <row r="366" spans="14:14" x14ac:dyDescent="0.3">
      <c r="N366" s="9"/>
    </row>
    <row r="367" spans="14:14" x14ac:dyDescent="0.3">
      <c r="N367" s="9"/>
    </row>
    <row r="368" spans="14:14" x14ac:dyDescent="0.3">
      <c r="N368" s="9"/>
    </row>
    <row r="369" spans="14:14" x14ac:dyDescent="0.3">
      <c r="N369" s="9"/>
    </row>
    <row r="370" spans="14:14" x14ac:dyDescent="0.3">
      <c r="N370" s="9"/>
    </row>
    <row r="371" spans="14:14" x14ac:dyDescent="0.3">
      <c r="N371" s="9"/>
    </row>
    <row r="372" spans="14:14" x14ac:dyDescent="0.3">
      <c r="N372" s="9"/>
    </row>
    <row r="373" spans="14:14" x14ac:dyDescent="0.3">
      <c r="N373" s="9"/>
    </row>
    <row r="374" spans="14:14" x14ac:dyDescent="0.3">
      <c r="N374" s="9"/>
    </row>
    <row r="375" spans="14:14" x14ac:dyDescent="0.3">
      <c r="N375" s="9"/>
    </row>
    <row r="376" spans="14:14" x14ac:dyDescent="0.3">
      <c r="N376" s="9"/>
    </row>
    <row r="377" spans="14:14" x14ac:dyDescent="0.3">
      <c r="N377" s="9"/>
    </row>
    <row r="378" spans="14:14" x14ac:dyDescent="0.3">
      <c r="N378" s="9"/>
    </row>
    <row r="379" spans="14:14" x14ac:dyDescent="0.3">
      <c r="N379" s="9"/>
    </row>
    <row r="380" spans="14:14" x14ac:dyDescent="0.3">
      <c r="N380" s="9"/>
    </row>
    <row r="381" spans="14:14" x14ac:dyDescent="0.3">
      <c r="N381" s="9"/>
    </row>
    <row r="382" spans="14:14" x14ac:dyDescent="0.3">
      <c r="N382" s="9"/>
    </row>
    <row r="383" spans="14:14" x14ac:dyDescent="0.3">
      <c r="N383" s="9"/>
    </row>
    <row r="384" spans="14:14" x14ac:dyDescent="0.3">
      <c r="N384" s="9"/>
    </row>
    <row r="385" spans="14:14" x14ac:dyDescent="0.3">
      <c r="N385" s="9"/>
    </row>
    <row r="386" spans="14:14" x14ac:dyDescent="0.3">
      <c r="N386" s="9"/>
    </row>
    <row r="387" spans="14:14" x14ac:dyDescent="0.3">
      <c r="N387" s="9"/>
    </row>
    <row r="388" spans="14:14" x14ac:dyDescent="0.3">
      <c r="N388" s="9"/>
    </row>
    <row r="389" spans="14:14" x14ac:dyDescent="0.3">
      <c r="N389" s="9"/>
    </row>
    <row r="390" spans="14:14" x14ac:dyDescent="0.3">
      <c r="N390" s="9"/>
    </row>
    <row r="391" spans="14:14" x14ac:dyDescent="0.3">
      <c r="N391" s="9"/>
    </row>
    <row r="392" spans="14:14" x14ac:dyDescent="0.3">
      <c r="N392" s="9"/>
    </row>
    <row r="393" spans="14:14" x14ac:dyDescent="0.3">
      <c r="N393" s="9"/>
    </row>
    <row r="394" spans="14:14" x14ac:dyDescent="0.3">
      <c r="N394" s="9"/>
    </row>
    <row r="395" spans="14:14" x14ac:dyDescent="0.3">
      <c r="N395" s="9"/>
    </row>
    <row r="396" spans="14:14" x14ac:dyDescent="0.3">
      <c r="N396" s="9"/>
    </row>
    <row r="397" spans="14:14" x14ac:dyDescent="0.3">
      <c r="N397" s="9"/>
    </row>
    <row r="398" spans="14:14" x14ac:dyDescent="0.3">
      <c r="N398" s="9"/>
    </row>
    <row r="399" spans="14:14" x14ac:dyDescent="0.3">
      <c r="N399" s="9"/>
    </row>
    <row r="400" spans="14:14" x14ac:dyDescent="0.3">
      <c r="N400" s="9"/>
    </row>
    <row r="401" spans="14:14" x14ac:dyDescent="0.3">
      <c r="N401" s="9"/>
    </row>
    <row r="402" spans="14:14" x14ac:dyDescent="0.3">
      <c r="N402" s="9"/>
    </row>
    <row r="403" spans="14:14" x14ac:dyDescent="0.3">
      <c r="N403" s="9"/>
    </row>
    <row r="404" spans="14:14" x14ac:dyDescent="0.3">
      <c r="N404" s="9"/>
    </row>
    <row r="405" spans="14:14" x14ac:dyDescent="0.3">
      <c r="N405" s="9"/>
    </row>
    <row r="406" spans="14:14" x14ac:dyDescent="0.3">
      <c r="N406" s="9"/>
    </row>
    <row r="407" spans="14:14" x14ac:dyDescent="0.3">
      <c r="N407" s="9"/>
    </row>
    <row r="408" spans="14:14" x14ac:dyDescent="0.3">
      <c r="N408" s="9"/>
    </row>
    <row r="409" spans="14:14" x14ac:dyDescent="0.3">
      <c r="N409" s="9"/>
    </row>
    <row r="410" spans="14:14" x14ac:dyDescent="0.3">
      <c r="N410" s="9"/>
    </row>
    <row r="411" spans="14:14" x14ac:dyDescent="0.3">
      <c r="N411" s="9"/>
    </row>
    <row r="412" spans="14:14" x14ac:dyDescent="0.3">
      <c r="N412" s="9"/>
    </row>
    <row r="413" spans="14:14" x14ac:dyDescent="0.3">
      <c r="N413" s="9"/>
    </row>
    <row r="414" spans="14:14" x14ac:dyDescent="0.3">
      <c r="N414" s="9"/>
    </row>
    <row r="415" spans="14:14" x14ac:dyDescent="0.3">
      <c r="N415" s="9"/>
    </row>
    <row r="416" spans="14:14" x14ac:dyDescent="0.3">
      <c r="N416" s="9"/>
    </row>
    <row r="417" spans="14:14" x14ac:dyDescent="0.3">
      <c r="N417" s="9"/>
    </row>
    <row r="418" spans="14:14" x14ac:dyDescent="0.3">
      <c r="N418" s="9"/>
    </row>
    <row r="419" spans="14:14" x14ac:dyDescent="0.3">
      <c r="N419" s="9"/>
    </row>
    <row r="420" spans="14:14" x14ac:dyDescent="0.3">
      <c r="N420" s="9"/>
    </row>
    <row r="421" spans="14:14" x14ac:dyDescent="0.3">
      <c r="N421" s="9"/>
    </row>
    <row r="422" spans="14:14" x14ac:dyDescent="0.3">
      <c r="N422" s="9"/>
    </row>
    <row r="423" spans="14:14" x14ac:dyDescent="0.3">
      <c r="N423" s="9"/>
    </row>
    <row r="424" spans="14:14" x14ac:dyDescent="0.3">
      <c r="N424" s="9"/>
    </row>
    <row r="425" spans="14:14" x14ac:dyDescent="0.3">
      <c r="N425" s="9"/>
    </row>
    <row r="426" spans="14:14" x14ac:dyDescent="0.3">
      <c r="N426" s="9"/>
    </row>
    <row r="427" spans="14:14" x14ac:dyDescent="0.3">
      <c r="N427" s="9"/>
    </row>
    <row r="428" spans="14:14" x14ac:dyDescent="0.3">
      <c r="N428" s="9"/>
    </row>
    <row r="429" spans="14:14" x14ac:dyDescent="0.3">
      <c r="N429" s="9"/>
    </row>
    <row r="430" spans="14:14" x14ac:dyDescent="0.3">
      <c r="N430" s="9"/>
    </row>
    <row r="431" spans="14:14" x14ac:dyDescent="0.3">
      <c r="N431" s="9"/>
    </row>
    <row r="432" spans="14:14" x14ac:dyDescent="0.3">
      <c r="N432" s="9"/>
    </row>
    <row r="433" spans="14:14" x14ac:dyDescent="0.3">
      <c r="N433" s="9"/>
    </row>
    <row r="434" spans="14:14" x14ac:dyDescent="0.3">
      <c r="N434" s="9"/>
    </row>
    <row r="435" spans="14:14" x14ac:dyDescent="0.3">
      <c r="N435" s="9"/>
    </row>
    <row r="436" spans="14:14" x14ac:dyDescent="0.3">
      <c r="N436" s="9"/>
    </row>
    <row r="437" spans="14:14" x14ac:dyDescent="0.3">
      <c r="N437" s="9"/>
    </row>
    <row r="438" spans="14:14" x14ac:dyDescent="0.3">
      <c r="N438" s="9"/>
    </row>
    <row r="439" spans="14:14" x14ac:dyDescent="0.3">
      <c r="N439" s="9"/>
    </row>
    <row r="440" spans="14:14" x14ac:dyDescent="0.3">
      <c r="N440" s="9"/>
    </row>
    <row r="441" spans="14:14" x14ac:dyDescent="0.3">
      <c r="N441" s="9"/>
    </row>
    <row r="442" spans="14:14" x14ac:dyDescent="0.3">
      <c r="N442" s="9"/>
    </row>
    <row r="443" spans="14:14" x14ac:dyDescent="0.3">
      <c r="N443" s="9"/>
    </row>
    <row r="444" spans="14:14" x14ac:dyDescent="0.3">
      <c r="N444" s="9"/>
    </row>
    <row r="445" spans="14:14" x14ac:dyDescent="0.3">
      <c r="N445" s="9"/>
    </row>
    <row r="446" spans="14:14" x14ac:dyDescent="0.3">
      <c r="N446" s="9"/>
    </row>
    <row r="447" spans="14:14" x14ac:dyDescent="0.3">
      <c r="N447" s="9"/>
    </row>
    <row r="448" spans="14:14" x14ac:dyDescent="0.3">
      <c r="N448" s="9"/>
    </row>
    <row r="449" spans="14:14" x14ac:dyDescent="0.3">
      <c r="N449" s="9"/>
    </row>
    <row r="450" spans="14:14" x14ac:dyDescent="0.3">
      <c r="N450" s="9"/>
    </row>
    <row r="451" spans="14:14" x14ac:dyDescent="0.3">
      <c r="N451" s="9"/>
    </row>
    <row r="452" spans="14:14" x14ac:dyDescent="0.3">
      <c r="N452" s="9"/>
    </row>
    <row r="453" spans="14:14" x14ac:dyDescent="0.3">
      <c r="N453" s="9"/>
    </row>
    <row r="454" spans="14:14" x14ac:dyDescent="0.3">
      <c r="N454" s="9"/>
    </row>
    <row r="455" spans="14:14" x14ac:dyDescent="0.3">
      <c r="N455" s="9"/>
    </row>
    <row r="456" spans="14:14" x14ac:dyDescent="0.3">
      <c r="N456" s="9"/>
    </row>
    <row r="457" spans="14:14" x14ac:dyDescent="0.3">
      <c r="N457" s="9"/>
    </row>
    <row r="458" spans="14:14" x14ac:dyDescent="0.3">
      <c r="N458" s="9"/>
    </row>
    <row r="459" spans="14:14" x14ac:dyDescent="0.3">
      <c r="N459" s="9"/>
    </row>
    <row r="460" spans="14:14" x14ac:dyDescent="0.3">
      <c r="N460" s="9"/>
    </row>
    <row r="461" spans="14:14" x14ac:dyDescent="0.3">
      <c r="N461" s="9"/>
    </row>
    <row r="462" spans="14:14" x14ac:dyDescent="0.3">
      <c r="N462" s="9"/>
    </row>
    <row r="463" spans="14:14" x14ac:dyDescent="0.3">
      <c r="N463" s="9"/>
    </row>
    <row r="464" spans="14:14" x14ac:dyDescent="0.3">
      <c r="N464" s="9"/>
    </row>
    <row r="465" spans="14:14" x14ac:dyDescent="0.3">
      <c r="N465" s="9"/>
    </row>
    <row r="466" spans="14:14" x14ac:dyDescent="0.3">
      <c r="N466" s="9"/>
    </row>
    <row r="467" spans="14:14" x14ac:dyDescent="0.3">
      <c r="N467" s="9"/>
    </row>
    <row r="468" spans="14:14" x14ac:dyDescent="0.3">
      <c r="N468" s="9"/>
    </row>
    <row r="469" spans="14:14" x14ac:dyDescent="0.3">
      <c r="N469" s="9"/>
    </row>
    <row r="470" spans="14:14" x14ac:dyDescent="0.3">
      <c r="N470" s="9"/>
    </row>
    <row r="471" spans="14:14" x14ac:dyDescent="0.3">
      <c r="N471" s="9"/>
    </row>
    <row r="472" spans="14:14" x14ac:dyDescent="0.3">
      <c r="N472" s="9"/>
    </row>
    <row r="473" spans="14:14" x14ac:dyDescent="0.3">
      <c r="N473" s="9"/>
    </row>
    <row r="474" spans="14:14" x14ac:dyDescent="0.3">
      <c r="N474" s="9"/>
    </row>
    <row r="475" spans="14:14" x14ac:dyDescent="0.3">
      <c r="N475" s="9"/>
    </row>
    <row r="476" spans="14:14" x14ac:dyDescent="0.3">
      <c r="N476" s="9"/>
    </row>
    <row r="477" spans="14:14" x14ac:dyDescent="0.3">
      <c r="N477" s="9"/>
    </row>
    <row r="478" spans="14:14" x14ac:dyDescent="0.3">
      <c r="N478" s="9"/>
    </row>
    <row r="479" spans="14:14" x14ac:dyDescent="0.3">
      <c r="N479" s="9"/>
    </row>
    <row r="480" spans="14:14" x14ac:dyDescent="0.3">
      <c r="N480" s="9"/>
    </row>
    <row r="481" spans="14:14" x14ac:dyDescent="0.3">
      <c r="N481" s="9"/>
    </row>
    <row r="482" spans="14:14" x14ac:dyDescent="0.3">
      <c r="N482" s="9"/>
    </row>
    <row r="483" spans="14:14" x14ac:dyDescent="0.3">
      <c r="N483" s="9"/>
    </row>
    <row r="484" spans="14:14" x14ac:dyDescent="0.3">
      <c r="N484" s="9"/>
    </row>
    <row r="485" spans="14:14" x14ac:dyDescent="0.3">
      <c r="N485" s="9"/>
    </row>
    <row r="486" spans="14:14" x14ac:dyDescent="0.3">
      <c r="N486" s="9"/>
    </row>
    <row r="487" spans="14:14" x14ac:dyDescent="0.3">
      <c r="N487" s="9"/>
    </row>
    <row r="488" spans="14:14" x14ac:dyDescent="0.3">
      <c r="N488" s="9"/>
    </row>
    <row r="489" spans="14:14" x14ac:dyDescent="0.3">
      <c r="N489" s="9"/>
    </row>
    <row r="490" spans="14:14" x14ac:dyDescent="0.3">
      <c r="N490" s="9"/>
    </row>
    <row r="491" spans="14:14" x14ac:dyDescent="0.3">
      <c r="N491" s="9"/>
    </row>
    <row r="492" spans="14:14" x14ac:dyDescent="0.3">
      <c r="N492" s="9"/>
    </row>
    <row r="493" spans="14:14" x14ac:dyDescent="0.3">
      <c r="N493" s="9"/>
    </row>
    <row r="494" spans="14:14" x14ac:dyDescent="0.3">
      <c r="N494" s="9"/>
    </row>
    <row r="495" spans="14:14" x14ac:dyDescent="0.3">
      <c r="N495" s="9"/>
    </row>
    <row r="496" spans="14:14" x14ac:dyDescent="0.3">
      <c r="N496" s="9"/>
    </row>
    <row r="497" spans="14:14" x14ac:dyDescent="0.3">
      <c r="N497" s="9"/>
    </row>
    <row r="498" spans="14:14" x14ac:dyDescent="0.3">
      <c r="N498" s="9"/>
    </row>
    <row r="499" spans="14:14" x14ac:dyDescent="0.3">
      <c r="N499" s="9"/>
    </row>
    <row r="500" spans="14:14" x14ac:dyDescent="0.3">
      <c r="N500" s="9"/>
    </row>
    <row r="501" spans="14:14" x14ac:dyDescent="0.3">
      <c r="N501" s="9"/>
    </row>
    <row r="502" spans="14:14" x14ac:dyDescent="0.3">
      <c r="N502" s="9"/>
    </row>
    <row r="503" spans="14:14" x14ac:dyDescent="0.3">
      <c r="N503" s="9"/>
    </row>
    <row r="504" spans="14:14" x14ac:dyDescent="0.3">
      <c r="N504" s="9"/>
    </row>
    <row r="505" spans="14:14" x14ac:dyDescent="0.3">
      <c r="N505" s="9"/>
    </row>
    <row r="506" spans="14:14" x14ac:dyDescent="0.3">
      <c r="N506" s="9"/>
    </row>
    <row r="507" spans="14:14" x14ac:dyDescent="0.3">
      <c r="N507" s="9"/>
    </row>
    <row r="508" spans="14:14" x14ac:dyDescent="0.3">
      <c r="N508" s="9"/>
    </row>
    <row r="509" spans="14:14" x14ac:dyDescent="0.3">
      <c r="N509" s="9"/>
    </row>
    <row r="510" spans="14:14" x14ac:dyDescent="0.3">
      <c r="N510" s="9"/>
    </row>
    <row r="511" spans="14:14" x14ac:dyDescent="0.3">
      <c r="N511" s="9"/>
    </row>
    <row r="512" spans="14:14" x14ac:dyDescent="0.3">
      <c r="N512" s="9"/>
    </row>
    <row r="513" spans="14:14" x14ac:dyDescent="0.3">
      <c r="N513" s="9"/>
    </row>
    <row r="514" spans="14:14" x14ac:dyDescent="0.3">
      <c r="N514" s="9"/>
    </row>
    <row r="515" spans="14:14" x14ac:dyDescent="0.3">
      <c r="N515" s="9"/>
    </row>
    <row r="516" spans="14:14" x14ac:dyDescent="0.3">
      <c r="N516" s="9"/>
    </row>
    <row r="517" spans="14:14" x14ac:dyDescent="0.3">
      <c r="N517" s="9"/>
    </row>
    <row r="518" spans="14:14" x14ac:dyDescent="0.3">
      <c r="N518" s="9"/>
    </row>
    <row r="519" spans="14:14" x14ac:dyDescent="0.3">
      <c r="N519" s="9"/>
    </row>
    <row r="520" spans="14:14" x14ac:dyDescent="0.3">
      <c r="N520" s="9"/>
    </row>
    <row r="521" spans="14:14" x14ac:dyDescent="0.3">
      <c r="N521" s="9"/>
    </row>
    <row r="522" spans="14:14" x14ac:dyDescent="0.3">
      <c r="N522" s="9"/>
    </row>
    <row r="523" spans="14:14" x14ac:dyDescent="0.3">
      <c r="N523" s="9"/>
    </row>
    <row r="524" spans="14:14" x14ac:dyDescent="0.3">
      <c r="N524" s="9"/>
    </row>
    <row r="525" spans="14:14" x14ac:dyDescent="0.3">
      <c r="N525" s="9"/>
    </row>
    <row r="526" spans="14:14" x14ac:dyDescent="0.3">
      <c r="N526" s="9"/>
    </row>
    <row r="527" spans="14:14" x14ac:dyDescent="0.3">
      <c r="N527" s="9"/>
    </row>
    <row r="528" spans="14:14" x14ac:dyDescent="0.3">
      <c r="N528" s="9"/>
    </row>
    <row r="529" spans="14:14" x14ac:dyDescent="0.3">
      <c r="N529" s="9"/>
    </row>
    <row r="530" spans="14:14" x14ac:dyDescent="0.3">
      <c r="N530" s="9"/>
    </row>
    <row r="531" spans="14:14" x14ac:dyDescent="0.3">
      <c r="N531" s="9"/>
    </row>
    <row r="532" spans="14:14" x14ac:dyDescent="0.3">
      <c r="N532" s="9"/>
    </row>
    <row r="533" spans="14:14" x14ac:dyDescent="0.3">
      <c r="N533" s="9"/>
    </row>
    <row r="534" spans="14:14" x14ac:dyDescent="0.3">
      <c r="N534" s="9"/>
    </row>
    <row r="535" spans="14:14" x14ac:dyDescent="0.3">
      <c r="N535" s="9"/>
    </row>
    <row r="536" spans="14:14" x14ac:dyDescent="0.3">
      <c r="N536" s="9"/>
    </row>
    <row r="537" spans="14:14" x14ac:dyDescent="0.3">
      <c r="N537" s="9"/>
    </row>
    <row r="538" spans="14:14" x14ac:dyDescent="0.3">
      <c r="N538" s="9"/>
    </row>
    <row r="539" spans="14:14" x14ac:dyDescent="0.3">
      <c r="N539" s="9"/>
    </row>
    <row r="540" spans="14:14" x14ac:dyDescent="0.3">
      <c r="N540" s="9"/>
    </row>
    <row r="541" spans="14:14" x14ac:dyDescent="0.3">
      <c r="N541" s="9"/>
    </row>
    <row r="542" spans="14:14" x14ac:dyDescent="0.3">
      <c r="N542" s="9"/>
    </row>
    <row r="543" spans="14:14" x14ac:dyDescent="0.3">
      <c r="N543" s="9"/>
    </row>
    <row r="544" spans="14:14" x14ac:dyDescent="0.3">
      <c r="N544" s="9"/>
    </row>
    <row r="545" spans="14:14" x14ac:dyDescent="0.3">
      <c r="N545" s="9"/>
    </row>
    <row r="546" spans="14:14" x14ac:dyDescent="0.3">
      <c r="N546" s="9"/>
    </row>
    <row r="547" spans="14:14" x14ac:dyDescent="0.3">
      <c r="N547" s="9"/>
    </row>
    <row r="548" spans="14:14" x14ac:dyDescent="0.3">
      <c r="N548" s="9"/>
    </row>
    <row r="549" spans="14:14" x14ac:dyDescent="0.3">
      <c r="N549" s="9"/>
    </row>
    <row r="550" spans="14:14" x14ac:dyDescent="0.3">
      <c r="N550" s="9"/>
    </row>
    <row r="551" spans="14:14" x14ac:dyDescent="0.3">
      <c r="N551" s="9"/>
    </row>
    <row r="552" spans="14:14" x14ac:dyDescent="0.3">
      <c r="N552" s="9"/>
    </row>
    <row r="553" spans="14:14" x14ac:dyDescent="0.3">
      <c r="N553" s="9"/>
    </row>
    <row r="554" spans="14:14" x14ac:dyDescent="0.3">
      <c r="N554" s="9"/>
    </row>
    <row r="555" spans="14:14" x14ac:dyDescent="0.3">
      <c r="N555" s="9"/>
    </row>
    <row r="556" spans="14:14" x14ac:dyDescent="0.3">
      <c r="N556" s="9"/>
    </row>
    <row r="557" spans="14:14" x14ac:dyDescent="0.3">
      <c r="N557" s="9"/>
    </row>
    <row r="558" spans="14:14" x14ac:dyDescent="0.3">
      <c r="N558" s="9"/>
    </row>
    <row r="559" spans="14:14" x14ac:dyDescent="0.3">
      <c r="N559" s="9"/>
    </row>
    <row r="560" spans="14:14" x14ac:dyDescent="0.3">
      <c r="N560" s="9"/>
    </row>
    <row r="561" spans="14:14" x14ac:dyDescent="0.3">
      <c r="N561" s="9"/>
    </row>
    <row r="562" spans="14:14" x14ac:dyDescent="0.3">
      <c r="N562" s="9"/>
    </row>
    <row r="563" spans="14:14" x14ac:dyDescent="0.3">
      <c r="N563" s="9"/>
    </row>
    <row r="564" spans="14:14" x14ac:dyDescent="0.3">
      <c r="N564" s="9"/>
    </row>
    <row r="565" spans="14:14" x14ac:dyDescent="0.3">
      <c r="N565" s="9"/>
    </row>
    <row r="566" spans="14:14" x14ac:dyDescent="0.3">
      <c r="N566" s="9"/>
    </row>
    <row r="567" spans="14:14" x14ac:dyDescent="0.3">
      <c r="N567" s="9"/>
    </row>
    <row r="568" spans="14:14" x14ac:dyDescent="0.3">
      <c r="N568" s="9"/>
    </row>
    <row r="569" spans="14:14" x14ac:dyDescent="0.3">
      <c r="N569" s="9"/>
    </row>
    <row r="570" spans="14:14" x14ac:dyDescent="0.3">
      <c r="N570" s="9"/>
    </row>
    <row r="571" spans="14:14" x14ac:dyDescent="0.3">
      <c r="N571" s="9"/>
    </row>
    <row r="572" spans="14:14" x14ac:dyDescent="0.3">
      <c r="N572" s="9"/>
    </row>
    <row r="573" spans="14:14" x14ac:dyDescent="0.3">
      <c r="N573" s="9"/>
    </row>
    <row r="574" spans="14:14" x14ac:dyDescent="0.3">
      <c r="N574" s="9"/>
    </row>
    <row r="575" spans="14:14" x14ac:dyDescent="0.3">
      <c r="N575" s="9"/>
    </row>
    <row r="576" spans="14:14" x14ac:dyDescent="0.3">
      <c r="N576" s="9"/>
    </row>
    <row r="577" spans="14:14" x14ac:dyDescent="0.3">
      <c r="N577" s="9"/>
    </row>
    <row r="578" spans="14:14" x14ac:dyDescent="0.3">
      <c r="N578" s="9"/>
    </row>
    <row r="579" spans="14:14" x14ac:dyDescent="0.3">
      <c r="N579" s="9"/>
    </row>
    <row r="580" spans="14:14" x14ac:dyDescent="0.3">
      <c r="N580" s="9"/>
    </row>
    <row r="581" spans="14:14" x14ac:dyDescent="0.3">
      <c r="N581" s="9"/>
    </row>
    <row r="582" spans="14:14" x14ac:dyDescent="0.3">
      <c r="N582" s="9"/>
    </row>
    <row r="583" spans="14:14" x14ac:dyDescent="0.3">
      <c r="N583" s="9"/>
    </row>
    <row r="584" spans="14:14" x14ac:dyDescent="0.3">
      <c r="N584" s="9"/>
    </row>
    <row r="585" spans="14:14" x14ac:dyDescent="0.3">
      <c r="N585" s="9"/>
    </row>
    <row r="586" spans="14:14" x14ac:dyDescent="0.3">
      <c r="N586" s="9"/>
    </row>
    <row r="587" spans="14:14" x14ac:dyDescent="0.3">
      <c r="N587" s="9"/>
    </row>
    <row r="588" spans="14:14" x14ac:dyDescent="0.3">
      <c r="N588" s="9"/>
    </row>
    <row r="589" spans="14:14" x14ac:dyDescent="0.3">
      <c r="N589" s="9"/>
    </row>
    <row r="590" spans="14:14" x14ac:dyDescent="0.3">
      <c r="N590" s="9"/>
    </row>
    <row r="591" spans="14:14" x14ac:dyDescent="0.3">
      <c r="N591" s="9"/>
    </row>
    <row r="592" spans="14:14" x14ac:dyDescent="0.3">
      <c r="N592" s="9"/>
    </row>
    <row r="593" spans="14:14" x14ac:dyDescent="0.3">
      <c r="N593" s="9"/>
    </row>
    <row r="594" spans="14:14" x14ac:dyDescent="0.3">
      <c r="N594" s="9"/>
    </row>
    <row r="595" spans="14:14" x14ac:dyDescent="0.3">
      <c r="N595" s="9"/>
    </row>
    <row r="596" spans="14:14" x14ac:dyDescent="0.3">
      <c r="N596" s="9"/>
    </row>
    <row r="597" spans="14:14" x14ac:dyDescent="0.3">
      <c r="N597" s="9"/>
    </row>
    <row r="598" spans="14:14" x14ac:dyDescent="0.3">
      <c r="N598" s="9"/>
    </row>
    <row r="599" spans="14:14" x14ac:dyDescent="0.3">
      <c r="N599" s="9"/>
    </row>
    <row r="600" spans="14:14" x14ac:dyDescent="0.3">
      <c r="N600" s="9"/>
    </row>
    <row r="601" spans="14:14" x14ac:dyDescent="0.3">
      <c r="N601" s="9"/>
    </row>
    <row r="602" spans="14:14" x14ac:dyDescent="0.3">
      <c r="N602" s="9"/>
    </row>
    <row r="603" spans="14:14" x14ac:dyDescent="0.3">
      <c r="N603" s="9"/>
    </row>
    <row r="604" spans="14:14" x14ac:dyDescent="0.3">
      <c r="N604" s="9"/>
    </row>
    <row r="605" spans="14:14" x14ac:dyDescent="0.3">
      <c r="N605" s="9"/>
    </row>
    <row r="606" spans="14:14" x14ac:dyDescent="0.3">
      <c r="N606" s="9"/>
    </row>
    <row r="607" spans="14:14" x14ac:dyDescent="0.3">
      <c r="N607" s="9"/>
    </row>
    <row r="608" spans="14:14" x14ac:dyDescent="0.3">
      <c r="N608" s="9"/>
    </row>
    <row r="609" spans="14:14" x14ac:dyDescent="0.3">
      <c r="N609" s="9"/>
    </row>
    <row r="610" spans="14:14" x14ac:dyDescent="0.3">
      <c r="N610" s="9"/>
    </row>
    <row r="611" spans="14:14" x14ac:dyDescent="0.3">
      <c r="N611" s="9"/>
    </row>
    <row r="612" spans="14:14" x14ac:dyDescent="0.3">
      <c r="N612" s="9"/>
    </row>
    <row r="613" spans="14:14" x14ac:dyDescent="0.3">
      <c r="N613" s="9"/>
    </row>
    <row r="614" spans="14:14" x14ac:dyDescent="0.3">
      <c r="N614" s="9"/>
    </row>
    <row r="615" spans="14:14" x14ac:dyDescent="0.3">
      <c r="N615" s="9"/>
    </row>
    <row r="616" spans="14:14" x14ac:dyDescent="0.3">
      <c r="N616" s="9"/>
    </row>
    <row r="617" spans="14:14" x14ac:dyDescent="0.3">
      <c r="N617" s="9"/>
    </row>
    <row r="618" spans="14:14" x14ac:dyDescent="0.3">
      <c r="N618" s="9"/>
    </row>
    <row r="619" spans="14:14" x14ac:dyDescent="0.3">
      <c r="N619" s="9"/>
    </row>
    <row r="620" spans="14:14" x14ac:dyDescent="0.3">
      <c r="N620" s="9"/>
    </row>
    <row r="621" spans="14:14" x14ac:dyDescent="0.3">
      <c r="N621" s="9"/>
    </row>
    <row r="622" spans="14:14" x14ac:dyDescent="0.3">
      <c r="N622" s="9"/>
    </row>
    <row r="623" spans="14:14" x14ac:dyDescent="0.3">
      <c r="N623" s="9"/>
    </row>
    <row r="624" spans="14:14" x14ac:dyDescent="0.3">
      <c r="N624" s="9"/>
    </row>
    <row r="625" spans="14:14" x14ac:dyDescent="0.3">
      <c r="N625" s="9"/>
    </row>
    <row r="626" spans="14:14" x14ac:dyDescent="0.3">
      <c r="N626" s="9"/>
    </row>
    <row r="627" spans="14:14" x14ac:dyDescent="0.3">
      <c r="N627" s="9"/>
    </row>
    <row r="628" spans="14:14" x14ac:dyDescent="0.3">
      <c r="N628" s="9"/>
    </row>
    <row r="629" spans="14:14" x14ac:dyDescent="0.3">
      <c r="N629" s="9"/>
    </row>
    <row r="630" spans="14:14" x14ac:dyDescent="0.3">
      <c r="N630" s="9"/>
    </row>
    <row r="631" spans="14:14" x14ac:dyDescent="0.3">
      <c r="N631" s="9"/>
    </row>
    <row r="632" spans="14:14" x14ac:dyDescent="0.3">
      <c r="N632" s="9"/>
    </row>
    <row r="633" spans="14:14" x14ac:dyDescent="0.3">
      <c r="N633" s="9"/>
    </row>
    <row r="634" spans="14:14" x14ac:dyDescent="0.3">
      <c r="N634" s="9"/>
    </row>
    <row r="635" spans="14:14" x14ac:dyDescent="0.3">
      <c r="N635" s="9"/>
    </row>
    <row r="636" spans="14:14" x14ac:dyDescent="0.3">
      <c r="N636" s="9"/>
    </row>
    <row r="637" spans="14:14" x14ac:dyDescent="0.3">
      <c r="N637" s="9"/>
    </row>
    <row r="638" spans="14:14" x14ac:dyDescent="0.3">
      <c r="N638" s="9"/>
    </row>
    <row r="639" spans="14:14" x14ac:dyDescent="0.3">
      <c r="N639" s="9"/>
    </row>
    <row r="640" spans="14:14" x14ac:dyDescent="0.3">
      <c r="N640" s="9"/>
    </row>
    <row r="641" spans="14:14" x14ac:dyDescent="0.3">
      <c r="N641" s="9"/>
    </row>
    <row r="642" spans="14:14" x14ac:dyDescent="0.3">
      <c r="N642" s="9"/>
    </row>
    <row r="643" spans="14:14" x14ac:dyDescent="0.3">
      <c r="N643" s="9"/>
    </row>
    <row r="644" spans="14:14" x14ac:dyDescent="0.3">
      <c r="N644" s="9"/>
    </row>
    <row r="645" spans="14:14" x14ac:dyDescent="0.3">
      <c r="N645" s="9"/>
    </row>
    <row r="646" spans="14:14" x14ac:dyDescent="0.3">
      <c r="N646" s="9"/>
    </row>
    <row r="647" spans="14:14" x14ac:dyDescent="0.3">
      <c r="N647" s="9"/>
    </row>
    <row r="648" spans="14:14" x14ac:dyDescent="0.3">
      <c r="N648" s="9"/>
    </row>
    <row r="649" spans="14:14" x14ac:dyDescent="0.3">
      <c r="N649" s="9"/>
    </row>
    <row r="650" spans="14:14" x14ac:dyDescent="0.3">
      <c r="N650" s="9"/>
    </row>
    <row r="651" spans="14:14" x14ac:dyDescent="0.3">
      <c r="N651" s="9"/>
    </row>
    <row r="652" spans="14:14" x14ac:dyDescent="0.3">
      <c r="N652" s="9"/>
    </row>
    <row r="653" spans="14:14" x14ac:dyDescent="0.3">
      <c r="N653" s="9"/>
    </row>
    <row r="654" spans="14:14" x14ac:dyDescent="0.3">
      <c r="N654" s="9"/>
    </row>
    <row r="655" spans="14:14" x14ac:dyDescent="0.3">
      <c r="N655" s="9"/>
    </row>
    <row r="656" spans="14:14" x14ac:dyDescent="0.3">
      <c r="N656" s="9"/>
    </row>
    <row r="657" spans="14:14" x14ac:dyDescent="0.3">
      <c r="N657" s="9"/>
    </row>
    <row r="658" spans="14:14" x14ac:dyDescent="0.3">
      <c r="N658" s="9"/>
    </row>
    <row r="659" spans="14:14" x14ac:dyDescent="0.3">
      <c r="N659" s="9"/>
    </row>
    <row r="660" spans="14:14" x14ac:dyDescent="0.3">
      <c r="N660" s="9"/>
    </row>
    <row r="661" spans="14:14" x14ac:dyDescent="0.3">
      <c r="N661" s="9"/>
    </row>
    <row r="662" spans="14:14" x14ac:dyDescent="0.3">
      <c r="N662" s="9"/>
    </row>
    <row r="663" spans="14:14" x14ac:dyDescent="0.3">
      <c r="N663" s="9"/>
    </row>
    <row r="664" spans="14:14" x14ac:dyDescent="0.3">
      <c r="N664" s="9"/>
    </row>
    <row r="665" spans="14:14" x14ac:dyDescent="0.3">
      <c r="N665" s="9"/>
    </row>
    <row r="666" spans="14:14" x14ac:dyDescent="0.3">
      <c r="N666" s="9"/>
    </row>
    <row r="667" spans="14:14" x14ac:dyDescent="0.3">
      <c r="N667" s="9"/>
    </row>
    <row r="668" spans="14:14" x14ac:dyDescent="0.3">
      <c r="N668" s="9"/>
    </row>
    <row r="669" spans="14:14" x14ac:dyDescent="0.3">
      <c r="N669" s="9"/>
    </row>
    <row r="670" spans="14:14" x14ac:dyDescent="0.3">
      <c r="N670" s="9"/>
    </row>
    <row r="671" spans="14:14" x14ac:dyDescent="0.3">
      <c r="N671" s="9"/>
    </row>
    <row r="672" spans="14:14" x14ac:dyDescent="0.3">
      <c r="N672" s="9"/>
    </row>
    <row r="673" spans="14:14" x14ac:dyDescent="0.3">
      <c r="N673" s="9"/>
    </row>
    <row r="674" spans="14:14" x14ac:dyDescent="0.3">
      <c r="N674" s="9"/>
    </row>
    <row r="675" spans="14:14" x14ac:dyDescent="0.3">
      <c r="N675" s="9"/>
    </row>
    <row r="676" spans="14:14" x14ac:dyDescent="0.3">
      <c r="N676" s="9"/>
    </row>
    <row r="677" spans="14:14" x14ac:dyDescent="0.3">
      <c r="N677" s="9"/>
    </row>
    <row r="678" spans="14:14" x14ac:dyDescent="0.3">
      <c r="N678" s="9"/>
    </row>
    <row r="679" spans="14:14" x14ac:dyDescent="0.3">
      <c r="N679" s="9"/>
    </row>
    <row r="680" spans="14:14" x14ac:dyDescent="0.3">
      <c r="N680" s="9"/>
    </row>
    <row r="681" spans="14:14" x14ac:dyDescent="0.3">
      <c r="N681" s="9"/>
    </row>
    <row r="682" spans="14:14" x14ac:dyDescent="0.3">
      <c r="N682" s="9"/>
    </row>
    <row r="683" spans="14:14" x14ac:dyDescent="0.3">
      <c r="N683" s="9"/>
    </row>
    <row r="684" spans="14:14" x14ac:dyDescent="0.3">
      <c r="N684" s="9"/>
    </row>
    <row r="685" spans="14:14" x14ac:dyDescent="0.3">
      <c r="N685" s="9"/>
    </row>
    <row r="686" spans="14:14" x14ac:dyDescent="0.3">
      <c r="N686" s="9"/>
    </row>
    <row r="687" spans="14:14" x14ac:dyDescent="0.3">
      <c r="N687" s="9"/>
    </row>
    <row r="688" spans="14:14" x14ac:dyDescent="0.3">
      <c r="N688" s="9"/>
    </row>
    <row r="689" spans="14:14" x14ac:dyDescent="0.3">
      <c r="N689" s="9"/>
    </row>
    <row r="690" spans="14:14" x14ac:dyDescent="0.3">
      <c r="N690" s="9"/>
    </row>
    <row r="691" spans="14:14" x14ac:dyDescent="0.3">
      <c r="N691" s="9"/>
    </row>
    <row r="692" spans="14:14" x14ac:dyDescent="0.3">
      <c r="N692" s="9"/>
    </row>
    <row r="693" spans="14:14" x14ac:dyDescent="0.3">
      <c r="N693" s="9"/>
    </row>
    <row r="694" spans="14:14" x14ac:dyDescent="0.3">
      <c r="N694" s="9"/>
    </row>
    <row r="695" spans="14:14" x14ac:dyDescent="0.3">
      <c r="N695" s="9"/>
    </row>
    <row r="696" spans="14:14" x14ac:dyDescent="0.3">
      <c r="N696" s="9"/>
    </row>
    <row r="697" spans="14:14" x14ac:dyDescent="0.3">
      <c r="N697" s="9"/>
    </row>
    <row r="698" spans="14:14" x14ac:dyDescent="0.3">
      <c r="N698" s="9"/>
    </row>
    <row r="699" spans="14:14" x14ac:dyDescent="0.3">
      <c r="N699" s="9"/>
    </row>
    <row r="700" spans="14:14" x14ac:dyDescent="0.3">
      <c r="N700" s="9"/>
    </row>
    <row r="701" spans="14:14" x14ac:dyDescent="0.3">
      <c r="N701" s="9"/>
    </row>
    <row r="702" spans="14:14" x14ac:dyDescent="0.3">
      <c r="N702" s="9"/>
    </row>
    <row r="703" spans="14:14" x14ac:dyDescent="0.3">
      <c r="N703" s="9"/>
    </row>
    <row r="704" spans="14:14" x14ac:dyDescent="0.3">
      <c r="N704" s="9"/>
    </row>
    <row r="705" spans="14:14" x14ac:dyDescent="0.3">
      <c r="N705" s="9"/>
    </row>
    <row r="706" spans="14:14" x14ac:dyDescent="0.3">
      <c r="N706" s="9"/>
    </row>
    <row r="707" spans="14:14" x14ac:dyDescent="0.3">
      <c r="N707" s="9"/>
    </row>
    <row r="708" spans="14:14" x14ac:dyDescent="0.3">
      <c r="N708" s="9"/>
    </row>
    <row r="709" spans="14:14" x14ac:dyDescent="0.3">
      <c r="N709" s="9"/>
    </row>
    <row r="710" spans="14:14" x14ac:dyDescent="0.3">
      <c r="N710" s="9"/>
    </row>
    <row r="711" spans="14:14" x14ac:dyDescent="0.3">
      <c r="N711" s="9"/>
    </row>
    <row r="712" spans="14:14" x14ac:dyDescent="0.3">
      <c r="N712" s="9"/>
    </row>
    <row r="713" spans="14:14" x14ac:dyDescent="0.3">
      <c r="N713" s="9"/>
    </row>
    <row r="714" spans="14:14" x14ac:dyDescent="0.3">
      <c r="N714" s="9"/>
    </row>
    <row r="715" spans="14:14" x14ac:dyDescent="0.3">
      <c r="N715" s="9"/>
    </row>
    <row r="716" spans="14:14" x14ac:dyDescent="0.3">
      <c r="N716" s="9"/>
    </row>
    <row r="717" spans="14:14" x14ac:dyDescent="0.3">
      <c r="N717" s="9"/>
    </row>
    <row r="718" spans="14:14" x14ac:dyDescent="0.3">
      <c r="N718" s="9"/>
    </row>
    <row r="719" spans="14:14" x14ac:dyDescent="0.3">
      <c r="N719" s="9"/>
    </row>
    <row r="720" spans="14:14" x14ac:dyDescent="0.3">
      <c r="N720" s="9"/>
    </row>
    <row r="721" spans="14:14" x14ac:dyDescent="0.3">
      <c r="N721" s="9"/>
    </row>
    <row r="722" spans="14:14" x14ac:dyDescent="0.3">
      <c r="N722" s="9"/>
    </row>
    <row r="723" spans="14:14" x14ac:dyDescent="0.3">
      <c r="N723" s="9"/>
    </row>
    <row r="724" spans="14:14" x14ac:dyDescent="0.3">
      <c r="N724" s="9"/>
    </row>
    <row r="725" spans="14:14" x14ac:dyDescent="0.3">
      <c r="N725" s="9"/>
    </row>
    <row r="726" spans="14:14" x14ac:dyDescent="0.3">
      <c r="N726" s="9"/>
    </row>
    <row r="727" spans="14:14" x14ac:dyDescent="0.3">
      <c r="N727" s="9"/>
    </row>
    <row r="728" spans="14:14" x14ac:dyDescent="0.3">
      <c r="N728" s="9"/>
    </row>
    <row r="729" spans="14:14" x14ac:dyDescent="0.3">
      <c r="N729" s="9"/>
    </row>
    <row r="730" spans="14:14" x14ac:dyDescent="0.3">
      <c r="N730" s="9"/>
    </row>
    <row r="731" spans="14:14" x14ac:dyDescent="0.3">
      <c r="N731" s="9"/>
    </row>
    <row r="732" spans="14:14" x14ac:dyDescent="0.3">
      <c r="N732" s="9"/>
    </row>
    <row r="733" spans="14:14" x14ac:dyDescent="0.3">
      <c r="N733" s="9"/>
    </row>
    <row r="734" spans="14:14" x14ac:dyDescent="0.3">
      <c r="N734" s="9"/>
    </row>
    <row r="735" spans="14:14" x14ac:dyDescent="0.3">
      <c r="N735" s="9"/>
    </row>
    <row r="736" spans="14:14" x14ac:dyDescent="0.3">
      <c r="N736" s="9"/>
    </row>
    <row r="737" spans="14:14" x14ac:dyDescent="0.3">
      <c r="N737" s="9"/>
    </row>
    <row r="738" spans="14:14" x14ac:dyDescent="0.3">
      <c r="N738" s="9"/>
    </row>
    <row r="739" spans="14:14" x14ac:dyDescent="0.3">
      <c r="N739" s="9"/>
    </row>
    <row r="740" spans="14:14" x14ac:dyDescent="0.3">
      <c r="N740" s="9"/>
    </row>
    <row r="741" spans="14:14" x14ac:dyDescent="0.3">
      <c r="N741" s="9"/>
    </row>
    <row r="742" spans="14:14" x14ac:dyDescent="0.3">
      <c r="N742" s="9"/>
    </row>
    <row r="743" spans="14:14" x14ac:dyDescent="0.3">
      <c r="N743" s="9"/>
    </row>
    <row r="744" spans="14:14" x14ac:dyDescent="0.3">
      <c r="N744" s="9"/>
    </row>
    <row r="745" spans="14:14" x14ac:dyDescent="0.3">
      <c r="N745" s="9"/>
    </row>
    <row r="746" spans="14:14" x14ac:dyDescent="0.3">
      <c r="N746" s="9"/>
    </row>
    <row r="747" spans="14:14" x14ac:dyDescent="0.3">
      <c r="N747" s="9"/>
    </row>
    <row r="748" spans="14:14" x14ac:dyDescent="0.3">
      <c r="N748" s="9"/>
    </row>
    <row r="749" spans="14:14" x14ac:dyDescent="0.3">
      <c r="N749" s="9"/>
    </row>
    <row r="750" spans="14:14" x14ac:dyDescent="0.3">
      <c r="N750" s="9"/>
    </row>
    <row r="751" spans="14:14" x14ac:dyDescent="0.3">
      <c r="N751" s="9"/>
    </row>
    <row r="752" spans="14:14" x14ac:dyDescent="0.3">
      <c r="N752" s="9"/>
    </row>
    <row r="753" spans="14:14" x14ac:dyDescent="0.3">
      <c r="N753" s="9"/>
    </row>
    <row r="754" spans="14:14" x14ac:dyDescent="0.3">
      <c r="N754" s="9"/>
    </row>
    <row r="755" spans="14:14" x14ac:dyDescent="0.3">
      <c r="N755" s="9"/>
    </row>
    <row r="756" spans="14:14" x14ac:dyDescent="0.3">
      <c r="N756" s="9"/>
    </row>
    <row r="757" spans="14:14" x14ac:dyDescent="0.3">
      <c r="N757" s="9"/>
    </row>
    <row r="758" spans="14:14" x14ac:dyDescent="0.3">
      <c r="N758" s="9"/>
    </row>
    <row r="759" spans="14:14" x14ac:dyDescent="0.3">
      <c r="N759" s="9"/>
    </row>
    <row r="760" spans="14:14" x14ac:dyDescent="0.3">
      <c r="N760" s="9"/>
    </row>
    <row r="761" spans="14:14" x14ac:dyDescent="0.3">
      <c r="N761" s="9"/>
    </row>
    <row r="762" spans="14:14" x14ac:dyDescent="0.3">
      <c r="N762" s="9"/>
    </row>
    <row r="763" spans="14:14" x14ac:dyDescent="0.3">
      <c r="N763" s="9"/>
    </row>
    <row r="764" spans="14:14" x14ac:dyDescent="0.3">
      <c r="N764" s="9"/>
    </row>
    <row r="765" spans="14:14" x14ac:dyDescent="0.3">
      <c r="N765" s="9"/>
    </row>
    <row r="766" spans="14:14" x14ac:dyDescent="0.3">
      <c r="N766" s="9"/>
    </row>
    <row r="767" spans="14:14" x14ac:dyDescent="0.3">
      <c r="N767" s="9"/>
    </row>
    <row r="768" spans="14:14" x14ac:dyDescent="0.3">
      <c r="N768" s="9"/>
    </row>
    <row r="769" spans="14:14" x14ac:dyDescent="0.3">
      <c r="N769" s="9"/>
    </row>
    <row r="770" spans="14:14" x14ac:dyDescent="0.3">
      <c r="N770" s="9"/>
    </row>
    <row r="771" spans="14:14" x14ac:dyDescent="0.3">
      <c r="N771" s="9"/>
    </row>
    <row r="772" spans="14:14" x14ac:dyDescent="0.3">
      <c r="N772" s="9"/>
    </row>
    <row r="773" spans="14:14" x14ac:dyDescent="0.3">
      <c r="N773" s="9"/>
    </row>
    <row r="774" spans="14:14" x14ac:dyDescent="0.3">
      <c r="N774" s="9"/>
    </row>
    <row r="775" spans="14:14" x14ac:dyDescent="0.3">
      <c r="N775" s="9"/>
    </row>
    <row r="776" spans="14:14" x14ac:dyDescent="0.3">
      <c r="N776" s="9"/>
    </row>
    <row r="777" spans="14:14" x14ac:dyDescent="0.3">
      <c r="N777" s="9"/>
    </row>
    <row r="778" spans="14:14" x14ac:dyDescent="0.3">
      <c r="N778" s="9"/>
    </row>
    <row r="779" spans="14:14" x14ac:dyDescent="0.3">
      <c r="N779" s="9"/>
    </row>
    <row r="780" spans="14:14" x14ac:dyDescent="0.3">
      <c r="N780" s="9"/>
    </row>
    <row r="781" spans="14:14" x14ac:dyDescent="0.3">
      <c r="N781" s="9"/>
    </row>
    <row r="782" spans="14:14" x14ac:dyDescent="0.3">
      <c r="N782" s="9"/>
    </row>
    <row r="783" spans="14:14" x14ac:dyDescent="0.3">
      <c r="N783" s="9"/>
    </row>
    <row r="784" spans="14:14" x14ac:dyDescent="0.3">
      <c r="N784" s="9"/>
    </row>
    <row r="785" spans="14:14" x14ac:dyDescent="0.3">
      <c r="N785" s="9"/>
    </row>
    <row r="786" spans="14:14" x14ac:dyDescent="0.3">
      <c r="N786" s="9"/>
    </row>
    <row r="787" spans="14:14" x14ac:dyDescent="0.3">
      <c r="N787" s="9"/>
    </row>
    <row r="788" spans="14:14" x14ac:dyDescent="0.3">
      <c r="N788" s="9"/>
    </row>
    <row r="789" spans="14:14" x14ac:dyDescent="0.3">
      <c r="N789" s="9"/>
    </row>
    <row r="790" spans="14:14" x14ac:dyDescent="0.3">
      <c r="N790" s="9"/>
    </row>
    <row r="791" spans="14:14" x14ac:dyDescent="0.3">
      <c r="N791" s="9"/>
    </row>
    <row r="792" spans="14:14" x14ac:dyDescent="0.3">
      <c r="N792" s="9"/>
    </row>
    <row r="793" spans="14:14" x14ac:dyDescent="0.3">
      <c r="N793" s="9"/>
    </row>
    <row r="794" spans="14:14" x14ac:dyDescent="0.3">
      <c r="N794" s="9"/>
    </row>
    <row r="795" spans="14:14" x14ac:dyDescent="0.3">
      <c r="N795" s="9"/>
    </row>
    <row r="796" spans="14:14" x14ac:dyDescent="0.3">
      <c r="N796" s="9"/>
    </row>
    <row r="797" spans="14:14" x14ac:dyDescent="0.3">
      <c r="N797" s="9"/>
    </row>
    <row r="798" spans="14:14" x14ac:dyDescent="0.3">
      <c r="N798" s="9"/>
    </row>
    <row r="799" spans="14:14" x14ac:dyDescent="0.3">
      <c r="N799" s="9"/>
    </row>
    <row r="800" spans="14:14" x14ac:dyDescent="0.3">
      <c r="N800" s="9"/>
    </row>
    <row r="801" spans="14:14" x14ac:dyDescent="0.3">
      <c r="N801" s="9"/>
    </row>
    <row r="802" spans="14:14" x14ac:dyDescent="0.3">
      <c r="N802" s="9"/>
    </row>
    <row r="803" spans="14:14" x14ac:dyDescent="0.3">
      <c r="N803" s="9"/>
    </row>
    <row r="804" spans="14:14" x14ac:dyDescent="0.3">
      <c r="N804" s="9"/>
    </row>
    <row r="805" spans="14:14" x14ac:dyDescent="0.3">
      <c r="N805" s="9"/>
    </row>
    <row r="806" spans="14:14" x14ac:dyDescent="0.3">
      <c r="N806" s="9"/>
    </row>
    <row r="807" spans="14:14" x14ac:dyDescent="0.3">
      <c r="N807" s="9"/>
    </row>
    <row r="808" spans="14:14" x14ac:dyDescent="0.3">
      <c r="N808" s="9"/>
    </row>
    <row r="809" spans="14:14" x14ac:dyDescent="0.3">
      <c r="N809" s="9"/>
    </row>
    <row r="810" spans="14:14" x14ac:dyDescent="0.3">
      <c r="N810" s="9"/>
    </row>
    <row r="811" spans="14:14" x14ac:dyDescent="0.3">
      <c r="N811" s="9"/>
    </row>
    <row r="812" spans="14:14" x14ac:dyDescent="0.3">
      <c r="N812" s="9"/>
    </row>
    <row r="813" spans="14:14" x14ac:dyDescent="0.3">
      <c r="N813" s="9"/>
    </row>
    <row r="814" spans="14:14" x14ac:dyDescent="0.3">
      <c r="N814" s="9"/>
    </row>
    <row r="815" spans="14:14" x14ac:dyDescent="0.3">
      <c r="N815" s="9"/>
    </row>
    <row r="816" spans="14:14" x14ac:dyDescent="0.3">
      <c r="N816" s="9"/>
    </row>
    <row r="817" spans="14:14" x14ac:dyDescent="0.3">
      <c r="N817" s="9"/>
    </row>
    <row r="818" spans="14:14" x14ac:dyDescent="0.3">
      <c r="N818" s="9"/>
    </row>
    <row r="819" spans="14:14" x14ac:dyDescent="0.3">
      <c r="N819" s="9"/>
    </row>
    <row r="820" spans="14:14" x14ac:dyDescent="0.3">
      <c r="N820" s="9"/>
    </row>
    <row r="821" spans="14:14" x14ac:dyDescent="0.3">
      <c r="N821" s="9"/>
    </row>
    <row r="822" spans="14:14" x14ac:dyDescent="0.3">
      <c r="N822" s="9"/>
    </row>
    <row r="823" spans="14:14" x14ac:dyDescent="0.3">
      <c r="N823" s="9"/>
    </row>
    <row r="824" spans="14:14" x14ac:dyDescent="0.3">
      <c r="N824" s="9"/>
    </row>
    <row r="825" spans="14:14" x14ac:dyDescent="0.3">
      <c r="N825" s="9"/>
    </row>
    <row r="826" spans="14:14" x14ac:dyDescent="0.3">
      <c r="N826" s="9"/>
    </row>
    <row r="827" spans="14:14" x14ac:dyDescent="0.3">
      <c r="N827" s="9"/>
    </row>
    <row r="828" spans="14:14" x14ac:dyDescent="0.3">
      <c r="N828" s="9"/>
    </row>
    <row r="829" spans="14:14" x14ac:dyDescent="0.3">
      <c r="N829" s="9"/>
    </row>
    <row r="830" spans="14:14" x14ac:dyDescent="0.3">
      <c r="N830" s="9"/>
    </row>
    <row r="831" spans="14:14" x14ac:dyDescent="0.3">
      <c r="N831" s="9"/>
    </row>
    <row r="832" spans="14:14" x14ac:dyDescent="0.3">
      <c r="N832" s="9"/>
    </row>
    <row r="833" spans="14:14" x14ac:dyDescent="0.3">
      <c r="N833" s="9"/>
    </row>
    <row r="834" spans="14:14" x14ac:dyDescent="0.3">
      <c r="N834" s="9"/>
    </row>
    <row r="835" spans="14:14" x14ac:dyDescent="0.3">
      <c r="N835" s="9"/>
    </row>
    <row r="836" spans="14:14" x14ac:dyDescent="0.3">
      <c r="N836" s="9"/>
    </row>
    <row r="837" spans="14:14" x14ac:dyDescent="0.3">
      <c r="N837" s="9"/>
    </row>
    <row r="838" spans="14:14" x14ac:dyDescent="0.3">
      <c r="N838" s="9"/>
    </row>
    <row r="839" spans="14:14" x14ac:dyDescent="0.3">
      <c r="N839" s="9"/>
    </row>
    <row r="840" spans="14:14" x14ac:dyDescent="0.3">
      <c r="N840" s="9"/>
    </row>
    <row r="841" spans="14:14" x14ac:dyDescent="0.3">
      <c r="N841" s="9"/>
    </row>
    <row r="842" spans="14:14" x14ac:dyDescent="0.3">
      <c r="N842" s="9"/>
    </row>
    <row r="843" spans="14:14" x14ac:dyDescent="0.3">
      <c r="N843" s="9"/>
    </row>
    <row r="844" spans="14:14" x14ac:dyDescent="0.3">
      <c r="N844" s="9"/>
    </row>
    <row r="845" spans="14:14" x14ac:dyDescent="0.3">
      <c r="N845" s="9"/>
    </row>
    <row r="846" spans="14:14" x14ac:dyDescent="0.3">
      <c r="N846" s="9"/>
    </row>
    <row r="847" spans="14:14" x14ac:dyDescent="0.3">
      <c r="N847" s="9"/>
    </row>
    <row r="848" spans="14:14" x14ac:dyDescent="0.3">
      <c r="N848" s="9"/>
    </row>
    <row r="849" spans="14:14" x14ac:dyDescent="0.3">
      <c r="N849" s="9"/>
    </row>
    <row r="850" spans="14:14" x14ac:dyDescent="0.3">
      <c r="N850" s="9"/>
    </row>
    <row r="851" spans="14:14" x14ac:dyDescent="0.3">
      <c r="N851" s="9"/>
    </row>
    <row r="852" spans="14:14" x14ac:dyDescent="0.3">
      <c r="N852" s="9"/>
    </row>
    <row r="853" spans="14:14" x14ac:dyDescent="0.3">
      <c r="N853" s="9"/>
    </row>
    <row r="854" spans="14:14" x14ac:dyDescent="0.3">
      <c r="N854" s="9"/>
    </row>
    <row r="855" spans="14:14" x14ac:dyDescent="0.3">
      <c r="N855" s="9"/>
    </row>
    <row r="856" spans="14:14" x14ac:dyDescent="0.3">
      <c r="N856" s="9"/>
    </row>
    <row r="857" spans="14:14" x14ac:dyDescent="0.3">
      <c r="N857" s="9"/>
    </row>
    <row r="858" spans="14:14" x14ac:dyDescent="0.3">
      <c r="N858" s="9"/>
    </row>
    <row r="859" spans="14:14" x14ac:dyDescent="0.3">
      <c r="N859" s="9"/>
    </row>
    <row r="860" spans="14:14" x14ac:dyDescent="0.3">
      <c r="N860" s="9"/>
    </row>
    <row r="861" spans="14:14" x14ac:dyDescent="0.3">
      <c r="N861" s="9"/>
    </row>
    <row r="862" spans="14:14" x14ac:dyDescent="0.3">
      <c r="N862" s="9"/>
    </row>
    <row r="863" spans="14:14" x14ac:dyDescent="0.3">
      <c r="N863" s="9"/>
    </row>
    <row r="864" spans="14:14" x14ac:dyDescent="0.3">
      <c r="N864" s="9"/>
    </row>
    <row r="865" spans="14:14" x14ac:dyDescent="0.3">
      <c r="N865" s="9"/>
    </row>
    <row r="866" spans="14:14" x14ac:dyDescent="0.3">
      <c r="N866" s="9"/>
    </row>
    <row r="867" spans="14:14" x14ac:dyDescent="0.3">
      <c r="N867" s="9"/>
    </row>
    <row r="868" spans="14:14" x14ac:dyDescent="0.3">
      <c r="N868" s="9"/>
    </row>
    <row r="869" spans="14:14" x14ac:dyDescent="0.3">
      <c r="N869" s="9"/>
    </row>
    <row r="870" spans="14:14" x14ac:dyDescent="0.3">
      <c r="N870" s="9"/>
    </row>
    <row r="871" spans="14:14" x14ac:dyDescent="0.3">
      <c r="N871" s="9"/>
    </row>
    <row r="872" spans="14:14" x14ac:dyDescent="0.3">
      <c r="N872" s="9"/>
    </row>
    <row r="873" spans="14:14" x14ac:dyDescent="0.3">
      <c r="N873" s="9"/>
    </row>
    <row r="874" spans="14:14" x14ac:dyDescent="0.3">
      <c r="N874" s="9"/>
    </row>
    <row r="875" spans="14:14" x14ac:dyDescent="0.3">
      <c r="N875" s="9"/>
    </row>
    <row r="876" spans="14:14" x14ac:dyDescent="0.3">
      <c r="N876" s="9"/>
    </row>
    <row r="877" spans="14:14" x14ac:dyDescent="0.3">
      <c r="N877" s="9"/>
    </row>
    <row r="878" spans="14:14" x14ac:dyDescent="0.3">
      <c r="N878" s="9"/>
    </row>
    <row r="879" spans="14:14" x14ac:dyDescent="0.3">
      <c r="N879" s="9"/>
    </row>
    <row r="880" spans="14:14" x14ac:dyDescent="0.3">
      <c r="N880" s="9"/>
    </row>
    <row r="881" spans="14:14" x14ac:dyDescent="0.3">
      <c r="N881" s="9"/>
    </row>
    <row r="882" spans="14:14" x14ac:dyDescent="0.3">
      <c r="N882" s="9"/>
    </row>
    <row r="883" spans="14:14" x14ac:dyDescent="0.3">
      <c r="N883" s="9"/>
    </row>
    <row r="884" spans="14:14" x14ac:dyDescent="0.3">
      <c r="N884" s="9"/>
    </row>
    <row r="885" spans="14:14" x14ac:dyDescent="0.3">
      <c r="N885" s="9"/>
    </row>
    <row r="886" spans="14:14" x14ac:dyDescent="0.3">
      <c r="N886" s="9"/>
    </row>
    <row r="887" spans="14:14" x14ac:dyDescent="0.3">
      <c r="N887" s="9"/>
    </row>
    <row r="888" spans="14:14" x14ac:dyDescent="0.3">
      <c r="N888" s="9"/>
    </row>
    <row r="889" spans="14:14" x14ac:dyDescent="0.3">
      <c r="N889" s="9"/>
    </row>
    <row r="890" spans="14:14" x14ac:dyDescent="0.3">
      <c r="N890" s="9"/>
    </row>
    <row r="891" spans="14:14" x14ac:dyDescent="0.3">
      <c r="N891" s="9"/>
    </row>
    <row r="892" spans="14:14" x14ac:dyDescent="0.3">
      <c r="N892" s="9"/>
    </row>
    <row r="893" spans="14:14" x14ac:dyDescent="0.3">
      <c r="N893" s="9"/>
    </row>
    <row r="894" spans="14:14" x14ac:dyDescent="0.3">
      <c r="N894" s="9"/>
    </row>
    <row r="895" spans="14:14" x14ac:dyDescent="0.3">
      <c r="N895" s="9"/>
    </row>
    <row r="896" spans="14:14" x14ac:dyDescent="0.3">
      <c r="N896" s="9"/>
    </row>
    <row r="897" spans="14:14" x14ac:dyDescent="0.3">
      <c r="N897" s="9"/>
    </row>
    <row r="898" spans="14:14" x14ac:dyDescent="0.3">
      <c r="N898" s="9"/>
    </row>
    <row r="899" spans="14:14" x14ac:dyDescent="0.3">
      <c r="N899" s="9"/>
    </row>
    <row r="900" spans="14:14" x14ac:dyDescent="0.3">
      <c r="N900" s="9"/>
    </row>
    <row r="901" spans="14:14" x14ac:dyDescent="0.3">
      <c r="N901" s="9"/>
    </row>
    <row r="902" spans="14:14" x14ac:dyDescent="0.3">
      <c r="N902" s="9"/>
    </row>
    <row r="903" spans="14:14" x14ac:dyDescent="0.3">
      <c r="N903" s="9"/>
    </row>
    <row r="904" spans="14:14" x14ac:dyDescent="0.3">
      <c r="N904" s="9"/>
    </row>
    <row r="905" spans="14:14" x14ac:dyDescent="0.3">
      <c r="N905" s="9"/>
    </row>
    <row r="906" spans="14:14" x14ac:dyDescent="0.3">
      <c r="N906" s="9"/>
    </row>
    <row r="907" spans="14:14" x14ac:dyDescent="0.3">
      <c r="N907" s="9"/>
    </row>
    <row r="908" spans="14:14" x14ac:dyDescent="0.3">
      <c r="N908" s="9"/>
    </row>
    <row r="909" spans="14:14" x14ac:dyDescent="0.3">
      <c r="N909" s="9"/>
    </row>
    <row r="910" spans="14:14" x14ac:dyDescent="0.3">
      <c r="N910" s="9"/>
    </row>
    <row r="911" spans="14:14" x14ac:dyDescent="0.3">
      <c r="N911" s="9"/>
    </row>
    <row r="912" spans="14:14" x14ac:dyDescent="0.3">
      <c r="N912" s="9"/>
    </row>
    <row r="913" spans="14:14" x14ac:dyDescent="0.3">
      <c r="N913" s="9"/>
    </row>
    <row r="914" spans="14:14" x14ac:dyDescent="0.3">
      <c r="N914" s="9"/>
    </row>
    <row r="915" spans="14:14" x14ac:dyDescent="0.3">
      <c r="N915" s="9"/>
    </row>
    <row r="916" spans="14:14" x14ac:dyDescent="0.3">
      <c r="N916" s="9"/>
    </row>
    <row r="917" spans="14:14" x14ac:dyDescent="0.3">
      <c r="N917" s="9"/>
    </row>
    <row r="918" spans="14:14" x14ac:dyDescent="0.3">
      <c r="N918" s="9"/>
    </row>
    <row r="919" spans="14:14" x14ac:dyDescent="0.3">
      <c r="N919" s="9"/>
    </row>
    <row r="920" spans="14:14" x14ac:dyDescent="0.3">
      <c r="N920" s="9"/>
    </row>
    <row r="921" spans="14:14" x14ac:dyDescent="0.3">
      <c r="N921" s="9"/>
    </row>
    <row r="922" spans="14:14" x14ac:dyDescent="0.3">
      <c r="N922" s="9"/>
    </row>
    <row r="923" spans="14:14" x14ac:dyDescent="0.3">
      <c r="N923" s="9"/>
    </row>
    <row r="924" spans="14:14" x14ac:dyDescent="0.3">
      <c r="N924" s="9"/>
    </row>
    <row r="925" spans="14:14" x14ac:dyDescent="0.3">
      <c r="N925" s="9"/>
    </row>
    <row r="926" spans="14:14" x14ac:dyDescent="0.3">
      <c r="N926" s="9"/>
    </row>
    <row r="927" spans="14:14" x14ac:dyDescent="0.3">
      <c r="N927" s="9"/>
    </row>
    <row r="928" spans="14:14" x14ac:dyDescent="0.3">
      <c r="N928" s="9"/>
    </row>
    <row r="929" spans="14:14" x14ac:dyDescent="0.3">
      <c r="N929" s="9"/>
    </row>
    <row r="930" spans="14:14" x14ac:dyDescent="0.3">
      <c r="N930" s="9"/>
    </row>
    <row r="931" spans="14:14" x14ac:dyDescent="0.3">
      <c r="N931" s="9"/>
    </row>
    <row r="932" spans="14:14" x14ac:dyDescent="0.3">
      <c r="N932" s="9"/>
    </row>
    <row r="933" spans="14:14" x14ac:dyDescent="0.3">
      <c r="N933" s="9"/>
    </row>
    <row r="934" spans="14:14" x14ac:dyDescent="0.3">
      <c r="N934" s="9"/>
    </row>
    <row r="935" spans="14:14" x14ac:dyDescent="0.3">
      <c r="N935" s="9"/>
    </row>
    <row r="936" spans="14:14" x14ac:dyDescent="0.3">
      <c r="N936" s="9"/>
    </row>
    <row r="937" spans="14:14" x14ac:dyDescent="0.3">
      <c r="N937" s="9"/>
    </row>
    <row r="938" spans="14:14" x14ac:dyDescent="0.3">
      <c r="N938" s="9"/>
    </row>
    <row r="939" spans="14:14" x14ac:dyDescent="0.3">
      <c r="N939" s="9"/>
    </row>
    <row r="940" spans="14:14" x14ac:dyDescent="0.3">
      <c r="N940" s="9"/>
    </row>
    <row r="941" spans="14:14" x14ac:dyDescent="0.3">
      <c r="N941" s="9"/>
    </row>
    <row r="942" spans="14:14" x14ac:dyDescent="0.3">
      <c r="N942" s="9"/>
    </row>
    <row r="943" spans="14:14" x14ac:dyDescent="0.3">
      <c r="N943" s="9"/>
    </row>
    <row r="944" spans="14:14" x14ac:dyDescent="0.3">
      <c r="N944" s="9"/>
    </row>
    <row r="945" spans="14:14" x14ac:dyDescent="0.3">
      <c r="N945" s="9"/>
    </row>
    <row r="946" spans="14:14" x14ac:dyDescent="0.3">
      <c r="N946" s="9"/>
    </row>
    <row r="947" spans="14:14" x14ac:dyDescent="0.3">
      <c r="N947" s="9"/>
    </row>
    <row r="948" spans="14:14" x14ac:dyDescent="0.3">
      <c r="N948" s="9"/>
    </row>
    <row r="949" spans="14:14" x14ac:dyDescent="0.3">
      <c r="N949" s="9"/>
    </row>
    <row r="950" spans="14:14" x14ac:dyDescent="0.3">
      <c r="N950" s="9"/>
    </row>
    <row r="951" spans="14:14" x14ac:dyDescent="0.3">
      <c r="N951" s="9"/>
    </row>
    <row r="952" spans="14:14" x14ac:dyDescent="0.3">
      <c r="N952" s="9"/>
    </row>
    <row r="953" spans="14:14" x14ac:dyDescent="0.3">
      <c r="N953" s="9"/>
    </row>
    <row r="954" spans="14:14" x14ac:dyDescent="0.3">
      <c r="N954" s="9"/>
    </row>
    <row r="955" spans="14:14" x14ac:dyDescent="0.3">
      <c r="N955" s="9"/>
    </row>
    <row r="956" spans="14:14" x14ac:dyDescent="0.3">
      <c r="N956" s="9"/>
    </row>
    <row r="957" spans="14:14" x14ac:dyDescent="0.3">
      <c r="N957" s="9"/>
    </row>
    <row r="958" spans="14:14" x14ac:dyDescent="0.3">
      <c r="N958" s="9"/>
    </row>
    <row r="959" spans="14:14" x14ac:dyDescent="0.3">
      <c r="N959" s="9"/>
    </row>
    <row r="960" spans="14:14" x14ac:dyDescent="0.3">
      <c r="N960" s="9"/>
    </row>
    <row r="961" spans="14:14" x14ac:dyDescent="0.3">
      <c r="N961" s="9"/>
    </row>
    <row r="962" spans="14:14" x14ac:dyDescent="0.3">
      <c r="N962" s="9"/>
    </row>
    <row r="963" spans="14:14" x14ac:dyDescent="0.3">
      <c r="N963" s="9"/>
    </row>
    <row r="964" spans="14:14" x14ac:dyDescent="0.3">
      <c r="N964" s="9"/>
    </row>
    <row r="965" spans="14:14" x14ac:dyDescent="0.3">
      <c r="N965" s="9"/>
    </row>
    <row r="966" spans="14:14" x14ac:dyDescent="0.3">
      <c r="N966" s="9"/>
    </row>
    <row r="967" spans="14:14" x14ac:dyDescent="0.3">
      <c r="N967" s="9"/>
    </row>
    <row r="968" spans="14:14" x14ac:dyDescent="0.3">
      <c r="N968" s="9"/>
    </row>
    <row r="969" spans="14:14" x14ac:dyDescent="0.3">
      <c r="N969" s="9"/>
    </row>
  </sheetData>
  <autoFilter ref="A3:AN46" xr:uid="{0FAF4542-286F-4B92-9681-D92F956C30C7}"/>
  <mergeCells count="1">
    <mergeCell ref="A40:B40"/>
  </mergeCells>
  <phoneticPr fontId="41" type="noConversion"/>
  <pageMargins left="0.511811024" right="0.511811024" top="0.78740157499999996" bottom="0.78740157499999996" header="0.31496062000000002" footer="0.31496062000000002"/>
  <pageSetup paperSize="9" scale="31" orientation="portrait" r:id="rId1"/>
  <colBreaks count="1" manualBreakCount="1">
    <brk id="17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08FB-09B6-48DA-AC7A-6AEBBD6ED7CA}">
  <dimension ref="A1:AN964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0" sqref="C40:E40"/>
    </sheetView>
  </sheetViews>
  <sheetFormatPr defaultColWidth="8.6640625" defaultRowHeight="14.4" x14ac:dyDescent="0.3"/>
  <cols>
    <col min="1" max="1" width="40.6640625" style="171" customWidth="1"/>
    <col min="2" max="2" width="24.109375" style="206" customWidth="1"/>
    <col min="3" max="3" width="23.109375" style="190" customWidth="1"/>
    <col min="4" max="4" width="17.33203125" style="190" customWidth="1"/>
    <col min="5" max="5" width="19" style="190" customWidth="1"/>
    <col min="6" max="6" width="18.88671875" style="256" customWidth="1"/>
    <col min="7" max="7" width="17.33203125" style="190" hidden="1" customWidth="1"/>
    <col min="8" max="8" width="18" style="206" customWidth="1"/>
    <col min="9" max="9" width="14.33203125" style="358" customWidth="1"/>
    <col min="10" max="10" width="14.33203125" style="206" customWidth="1"/>
    <col min="11" max="11" width="17" style="206" hidden="1" customWidth="1"/>
    <col min="12" max="12" width="17.109375" style="206" hidden="1" customWidth="1"/>
    <col min="13" max="13" width="9" style="190" hidden="1" customWidth="1"/>
    <col min="14" max="14" width="33.88671875" style="190" hidden="1" customWidth="1"/>
    <col min="15" max="16" width="32.109375" style="190" hidden="1" customWidth="1"/>
    <col min="17" max="17" width="40.6640625" style="190" hidden="1" customWidth="1"/>
    <col min="18" max="18" width="30.6640625" style="190" hidden="1" customWidth="1"/>
    <col min="19" max="21" width="0" style="190" hidden="1" customWidth="1"/>
    <col min="22" max="16384" width="8.6640625" style="190"/>
  </cols>
  <sheetData>
    <row r="1" spans="1:19" x14ac:dyDescent="0.3">
      <c r="A1" s="239" t="s">
        <v>291</v>
      </c>
      <c r="B1" s="239"/>
      <c r="C1" s="239"/>
      <c r="D1" s="239"/>
      <c r="E1" s="239"/>
      <c r="F1" s="239"/>
      <c r="G1" s="239"/>
      <c r="H1" s="371" t="s">
        <v>37</v>
      </c>
      <c r="I1" s="372" t="s">
        <v>224</v>
      </c>
      <c r="J1" s="371" t="s">
        <v>39</v>
      </c>
      <c r="K1" s="232" t="s">
        <v>208</v>
      </c>
      <c r="L1" s="232" t="s">
        <v>78</v>
      </c>
      <c r="N1" s="233" t="s">
        <v>266</v>
      </c>
      <c r="O1" s="234"/>
      <c r="P1" s="234"/>
      <c r="Q1" s="235"/>
      <c r="S1" s="190">
        <v>3</v>
      </c>
    </row>
    <row r="2" spans="1:19" x14ac:dyDescent="0.3">
      <c r="A2" s="240" t="s">
        <v>30</v>
      </c>
      <c r="B2" s="240" t="s">
        <v>1</v>
      </c>
      <c r="C2" s="242" t="s">
        <v>31</v>
      </c>
      <c r="D2" s="243"/>
      <c r="E2" s="243"/>
      <c r="F2" s="244"/>
      <c r="G2" s="170"/>
      <c r="H2" s="371"/>
      <c r="I2" s="372"/>
      <c r="J2" s="371"/>
      <c r="K2" s="232"/>
      <c r="L2" s="232"/>
      <c r="N2" s="236"/>
      <c r="O2" s="237"/>
      <c r="P2" s="237"/>
      <c r="Q2" s="238"/>
      <c r="R2" s="191"/>
    </row>
    <row r="3" spans="1:19" x14ac:dyDescent="0.3">
      <c r="A3" s="241"/>
      <c r="B3" s="241"/>
      <c r="C3" s="170" t="s">
        <v>286</v>
      </c>
      <c r="D3" s="170" t="s">
        <v>33</v>
      </c>
      <c r="E3" s="170" t="s">
        <v>34</v>
      </c>
      <c r="F3" s="254" t="s">
        <v>35</v>
      </c>
      <c r="G3" s="170" t="s">
        <v>264</v>
      </c>
      <c r="H3" s="371"/>
      <c r="I3" s="372"/>
      <c r="J3" s="371"/>
      <c r="K3" s="232"/>
      <c r="L3" s="232"/>
      <c r="N3" s="178" t="s">
        <v>108</v>
      </c>
      <c r="O3" s="178" t="s">
        <v>130</v>
      </c>
      <c r="P3" s="178" t="s">
        <v>268</v>
      </c>
      <c r="Q3" s="178" t="s">
        <v>269</v>
      </c>
      <c r="R3" s="173" t="s">
        <v>254</v>
      </c>
    </row>
    <row r="4" spans="1:19" x14ac:dyDescent="0.3">
      <c r="A4" s="216" t="s">
        <v>15</v>
      </c>
      <c r="B4" s="215" t="s">
        <v>5</v>
      </c>
      <c r="C4" s="285">
        <v>142323.01</v>
      </c>
      <c r="D4" s="285">
        <v>78314.52</v>
      </c>
      <c r="E4" s="285">
        <v>981876.55</v>
      </c>
      <c r="F4" s="255">
        <f>SUM(C4:E4)</f>
        <v>1202514.08</v>
      </c>
      <c r="G4" s="340"/>
      <c r="H4" s="376">
        <f>F4*15%</f>
        <v>180377.11199999999</v>
      </c>
      <c r="I4" s="192">
        <v>0.15</v>
      </c>
      <c r="J4" s="193" t="s">
        <v>257</v>
      </c>
      <c r="K4" s="175">
        <f t="shared" ref="K4:K29" si="0">H4</f>
        <v>180377.11199999999</v>
      </c>
      <c r="L4" s="193"/>
      <c r="N4" s="194">
        <f>'fluxo caixa mar 2026'!N4-'fluxo caixa abr 2026 '!F4</f>
        <v>126628.45999999973</v>
      </c>
      <c r="O4" s="194">
        <f>'fluxo caixa dez 2025'!N5</f>
        <v>0</v>
      </c>
      <c r="P4" s="194"/>
      <c r="Q4" s="194"/>
      <c r="R4" s="195">
        <f t="shared" ref="R4:R29" si="1">N4+O4*I4</f>
        <v>126628.45999999973</v>
      </c>
    </row>
    <row r="5" spans="1:19" x14ac:dyDescent="0.3">
      <c r="A5" s="216" t="s">
        <v>3</v>
      </c>
      <c r="B5" s="215" t="s">
        <v>4</v>
      </c>
      <c r="C5" s="285">
        <v>29725.33</v>
      </c>
      <c r="D5" s="285">
        <f>6476.35+1406.05</f>
        <v>7882.4000000000005</v>
      </c>
      <c r="E5" s="285">
        <f>3246.13+1947.68</f>
        <v>5193.8100000000004</v>
      </c>
      <c r="F5" s="255">
        <f t="shared" ref="F5:F29" si="2">SUM(C5:E5)</f>
        <v>42801.54</v>
      </c>
      <c r="G5" s="340" t="s">
        <v>178</v>
      </c>
      <c r="H5" s="376">
        <f>F5*12.5%</f>
        <v>5350.1925000000001</v>
      </c>
      <c r="I5" s="192">
        <v>0.125</v>
      </c>
      <c r="J5" s="193" t="s">
        <v>257</v>
      </c>
      <c r="K5" s="175">
        <f t="shared" si="0"/>
        <v>5350.1925000000001</v>
      </c>
      <c r="L5" s="193"/>
      <c r="M5" s="197"/>
      <c r="N5" s="194">
        <f>'fluxo caixa mar 2026'!N5-'fluxo caixa abr 2026 '!F5</f>
        <v>348602.78</v>
      </c>
      <c r="O5" s="194">
        <f>'fluxo caixa dez 2025'!N6</f>
        <v>0</v>
      </c>
      <c r="P5" s="194"/>
      <c r="Q5" s="194"/>
      <c r="R5" s="195">
        <f t="shared" si="1"/>
        <v>348602.78</v>
      </c>
    </row>
    <row r="6" spans="1:19" x14ac:dyDescent="0.3">
      <c r="A6" s="216" t="s">
        <v>40</v>
      </c>
      <c r="B6" s="215" t="s">
        <v>47</v>
      </c>
      <c r="C6" s="285">
        <v>40430.769999999997</v>
      </c>
      <c r="D6" s="285">
        <v>0</v>
      </c>
      <c r="E6" s="375">
        <f>55368.72+22092.74</f>
        <v>77461.460000000006</v>
      </c>
      <c r="F6" s="255">
        <f t="shared" si="2"/>
        <v>117892.23000000001</v>
      </c>
      <c r="G6" s="340" t="s">
        <v>258</v>
      </c>
      <c r="H6" s="376">
        <f>F6*12.5%</f>
        <v>14736.528750000001</v>
      </c>
      <c r="I6" s="192">
        <v>0.125</v>
      </c>
      <c r="J6" s="193" t="s">
        <v>257</v>
      </c>
      <c r="K6" s="175">
        <f t="shared" si="0"/>
        <v>14736.528750000001</v>
      </c>
      <c r="L6" s="193"/>
      <c r="N6" s="194"/>
      <c r="O6" s="194">
        <f>'fluxo caixa mar 2026'!O6-'fluxo caixa abr 2026 '!F6</f>
        <v>-396375.83999999997</v>
      </c>
      <c r="P6" s="194"/>
      <c r="Q6" s="194"/>
      <c r="R6" s="195">
        <f t="shared" si="1"/>
        <v>-49546.979999999996</v>
      </c>
    </row>
    <row r="7" spans="1:19" x14ac:dyDescent="0.3">
      <c r="A7" s="216" t="s">
        <v>49</v>
      </c>
      <c r="B7" s="215" t="s">
        <v>42</v>
      </c>
      <c r="C7" s="285">
        <v>106181.1</v>
      </c>
      <c r="D7" s="285">
        <v>28847.29</v>
      </c>
      <c r="E7" s="285">
        <f>24262.64+10894.55</f>
        <v>35157.19</v>
      </c>
      <c r="F7" s="255">
        <f t="shared" si="2"/>
        <v>170185.58000000002</v>
      </c>
      <c r="G7" s="340"/>
      <c r="H7" s="376">
        <f>F7*12.5%</f>
        <v>21273.197500000002</v>
      </c>
      <c r="I7" s="192">
        <v>0.125</v>
      </c>
      <c r="J7" s="193" t="s">
        <v>257</v>
      </c>
      <c r="K7" s="175">
        <f t="shared" si="0"/>
        <v>21273.197500000002</v>
      </c>
      <c r="L7" s="193"/>
      <c r="N7" s="198">
        <f>'fluxo caixa mar 2026'!N7-'fluxo caixa abr 2026 '!F7</f>
        <v>193331.39999999985</v>
      </c>
      <c r="O7" s="194">
        <v>0</v>
      </c>
      <c r="P7" s="194"/>
      <c r="Q7" s="194"/>
      <c r="R7" s="195">
        <f t="shared" si="1"/>
        <v>193331.39999999985</v>
      </c>
    </row>
    <row r="8" spans="1:19" x14ac:dyDescent="0.3">
      <c r="A8" s="218" t="s">
        <v>53</v>
      </c>
      <c r="B8" s="215" t="s">
        <v>6</v>
      </c>
      <c r="C8" s="285">
        <v>90697.81</v>
      </c>
      <c r="D8" s="285">
        <v>44071.69</v>
      </c>
      <c r="E8" s="285"/>
      <c r="F8" s="255">
        <f t="shared" si="2"/>
        <v>134769.5</v>
      </c>
      <c r="G8" s="340"/>
      <c r="H8" s="376">
        <f>F8*15%</f>
        <v>20215.424999999999</v>
      </c>
      <c r="I8" s="192">
        <v>0.15</v>
      </c>
      <c r="J8" s="193" t="s">
        <v>257</v>
      </c>
      <c r="K8" s="175">
        <f>H8</f>
        <v>20215.424999999999</v>
      </c>
      <c r="L8" s="193"/>
      <c r="N8" s="194">
        <f>'fluxo caixa mar 2026'!N8-'fluxo caixa abr 2026 '!F8</f>
        <v>2000651.5700000003</v>
      </c>
      <c r="O8" s="194">
        <f>Controle!J13</f>
        <v>1047001.63</v>
      </c>
      <c r="P8" s="194"/>
      <c r="Q8" s="194"/>
      <c r="R8" s="195">
        <f t="shared" si="1"/>
        <v>2157701.8145000003</v>
      </c>
    </row>
    <row r="9" spans="1:19" x14ac:dyDescent="0.3">
      <c r="A9" s="216" t="s">
        <v>74</v>
      </c>
      <c r="B9" s="215" t="s">
        <v>75</v>
      </c>
      <c r="C9" s="285">
        <f>55.83+299.85+46908.78+12005.78</f>
        <v>59270.239999999998</v>
      </c>
      <c r="D9" s="285">
        <v>7301.88</v>
      </c>
      <c r="E9" s="285">
        <v>23144.54</v>
      </c>
      <c r="F9" s="255">
        <f t="shared" si="2"/>
        <v>89716.66</v>
      </c>
      <c r="G9" s="340" t="s">
        <v>178</v>
      </c>
      <c r="H9" s="376">
        <f>F9*20%</f>
        <v>17943.332000000002</v>
      </c>
      <c r="I9" s="192">
        <v>0.2</v>
      </c>
      <c r="J9" s="193" t="s">
        <v>257</v>
      </c>
      <c r="K9" s="175">
        <f t="shared" si="0"/>
        <v>17943.332000000002</v>
      </c>
      <c r="L9" s="193"/>
      <c r="N9" s="194">
        <f>Controle!I15-'fluxo caixa abr 2026 '!F9+'fluxo caixa mar 2026'!O9</f>
        <v>243849.89999999997</v>
      </c>
      <c r="O9" s="194">
        <v>0</v>
      </c>
      <c r="P9" s="194"/>
      <c r="Q9" s="194"/>
      <c r="R9" s="195">
        <f t="shared" si="1"/>
        <v>243849.89999999997</v>
      </c>
    </row>
    <row r="10" spans="1:19" ht="15" customHeight="1" x14ac:dyDescent="0.3">
      <c r="A10" s="216" t="s">
        <v>77</v>
      </c>
      <c r="B10" s="215" t="s">
        <v>76</v>
      </c>
      <c r="C10" s="285">
        <f>193.77+5357.47+20441.5</f>
        <v>25992.74</v>
      </c>
      <c r="D10" s="285">
        <v>0</v>
      </c>
      <c r="E10" s="285">
        <f>33374.65+14174.88</f>
        <v>47549.53</v>
      </c>
      <c r="F10" s="255">
        <f t="shared" si="2"/>
        <v>73542.27</v>
      </c>
      <c r="G10" s="340" t="s">
        <v>178</v>
      </c>
      <c r="H10" s="376">
        <f>F10*20%</f>
        <v>14708.454000000002</v>
      </c>
      <c r="I10" s="192">
        <v>0.2</v>
      </c>
      <c r="J10" s="193" t="s">
        <v>257</v>
      </c>
      <c r="K10" s="175">
        <f t="shared" si="0"/>
        <v>14708.454000000002</v>
      </c>
      <c r="L10" s="193"/>
      <c r="N10" s="194"/>
      <c r="O10" s="194">
        <f>'fluxo caixa mar 2026'!O10-'fluxo caixa abr 2026 '!F10</f>
        <v>-364878.18</v>
      </c>
      <c r="P10" s="194"/>
      <c r="Q10" s="194"/>
      <c r="R10" s="195">
        <f t="shared" si="1"/>
        <v>-72975.635999999999</v>
      </c>
    </row>
    <row r="11" spans="1:19" ht="15" customHeight="1" x14ac:dyDescent="0.3">
      <c r="A11" s="14" t="s">
        <v>51</v>
      </c>
      <c r="B11" s="215" t="s">
        <v>60</v>
      </c>
      <c r="C11" s="285">
        <v>0</v>
      </c>
      <c r="D11" s="285">
        <v>0</v>
      </c>
      <c r="E11" s="285">
        <v>0</v>
      </c>
      <c r="F11" s="255"/>
      <c r="G11" s="340"/>
      <c r="H11" s="376"/>
      <c r="I11" s="192">
        <v>0</v>
      </c>
      <c r="J11" s="193" t="s">
        <v>257</v>
      </c>
      <c r="K11" s="175"/>
      <c r="L11" s="193"/>
      <c r="N11" s="194"/>
      <c r="O11" s="194"/>
      <c r="P11" s="194"/>
      <c r="Q11" s="194"/>
      <c r="R11" s="195"/>
    </row>
    <row r="12" spans="1:19" x14ac:dyDescent="0.3">
      <c r="A12" s="216" t="s">
        <v>79</v>
      </c>
      <c r="B12" s="215" t="s">
        <v>84</v>
      </c>
      <c r="C12" s="285">
        <v>24604.93</v>
      </c>
      <c r="D12" s="285">
        <f>901.48+185.43</f>
        <v>1086.9100000000001</v>
      </c>
      <c r="E12" s="285">
        <f>28321.34+12355.68</f>
        <v>40677.020000000004</v>
      </c>
      <c r="F12" s="255">
        <f t="shared" si="2"/>
        <v>66368.86</v>
      </c>
      <c r="G12" s="340" t="s">
        <v>178</v>
      </c>
      <c r="H12" s="376">
        <f>F12*15%</f>
        <v>9955.3289999999997</v>
      </c>
      <c r="I12" s="192">
        <v>0.15</v>
      </c>
      <c r="J12" s="193" t="s">
        <v>257</v>
      </c>
      <c r="K12" s="175">
        <f t="shared" si="0"/>
        <v>9955.3289999999997</v>
      </c>
      <c r="L12" s="199"/>
      <c r="N12" s="194">
        <v>0</v>
      </c>
      <c r="O12" s="194">
        <f>'fluxo caixa dez 2025'!N13-43102.88</f>
        <v>-43102.879999999997</v>
      </c>
      <c r="P12" s="194"/>
      <c r="Q12" s="194"/>
      <c r="R12" s="195">
        <f t="shared" si="1"/>
        <v>-6465.4319999999998</v>
      </c>
    </row>
    <row r="13" spans="1:19" x14ac:dyDescent="0.3">
      <c r="A13" s="216" t="s">
        <v>80</v>
      </c>
      <c r="B13" s="215" t="s">
        <v>85</v>
      </c>
      <c r="C13" s="285">
        <v>107640.38</v>
      </c>
      <c r="D13" s="285">
        <v>39009.660000000003</v>
      </c>
      <c r="E13" s="285">
        <v>231810.01</v>
      </c>
      <c r="F13" s="255">
        <f t="shared" si="2"/>
        <v>378460.05000000005</v>
      </c>
      <c r="G13" s="340" t="s">
        <v>265</v>
      </c>
      <c r="H13" s="376">
        <f>F13*15%</f>
        <v>56769.007500000007</v>
      </c>
      <c r="I13" s="192">
        <v>0.15</v>
      </c>
      <c r="J13" s="193" t="s">
        <v>257</v>
      </c>
      <c r="K13" s="175">
        <f t="shared" si="0"/>
        <v>56769.007500000007</v>
      </c>
      <c r="L13" s="199"/>
      <c r="N13" s="198">
        <f>390560-F13</f>
        <v>12099.949999999953</v>
      </c>
      <c r="O13" s="198">
        <v>0</v>
      </c>
      <c r="P13" s="198"/>
      <c r="Q13" s="200">
        <f>Controle!K17-E13-12932.11</f>
        <v>78116.561199999982</v>
      </c>
      <c r="R13" s="195">
        <f t="shared" si="1"/>
        <v>12099.949999999953</v>
      </c>
    </row>
    <row r="14" spans="1:19" x14ac:dyDescent="0.3">
      <c r="A14" s="216" t="s">
        <v>82</v>
      </c>
      <c r="B14" s="215" t="s">
        <v>86</v>
      </c>
      <c r="C14" s="285">
        <f>26628.15+6490.2+43.53+207.33</f>
        <v>33369.21</v>
      </c>
      <c r="D14" s="285">
        <f>5159.92+1120.24</f>
        <v>6280.16</v>
      </c>
      <c r="E14" s="285">
        <f>99454.88+37963.76</f>
        <v>137418.64000000001</v>
      </c>
      <c r="F14" s="255">
        <f t="shared" si="2"/>
        <v>177068.01</v>
      </c>
      <c r="G14" s="340"/>
      <c r="H14" s="376">
        <f>F14*20%</f>
        <v>35413.602000000006</v>
      </c>
      <c r="I14" s="192">
        <v>0.2</v>
      </c>
      <c r="J14" s="193" t="s">
        <v>257</v>
      </c>
      <c r="K14" s="175">
        <f t="shared" si="0"/>
        <v>35413.602000000006</v>
      </c>
      <c r="L14" s="199"/>
      <c r="N14" s="198">
        <f>'fluxo caixa mar 2026'!N14-'fluxo caixa abr 2026 '!F14</f>
        <v>-421210.23</v>
      </c>
      <c r="O14" s="194">
        <v>0</v>
      </c>
      <c r="P14" s="194"/>
      <c r="Q14" s="181">
        <f>Controle!K16-'fluxo caixa abr 2026 '!F14+13174.49</f>
        <v>86706.48</v>
      </c>
      <c r="R14" s="195">
        <f t="shared" si="1"/>
        <v>-421210.23</v>
      </c>
    </row>
    <row r="15" spans="1:19" x14ac:dyDescent="0.3">
      <c r="A15" s="216" t="s">
        <v>83</v>
      </c>
      <c r="B15" s="215" t="s">
        <v>87</v>
      </c>
      <c r="C15" s="285">
        <v>2798.61</v>
      </c>
      <c r="D15" s="285"/>
      <c r="E15" s="285">
        <f>38187.21+15907.4</f>
        <v>54094.61</v>
      </c>
      <c r="F15" s="255">
        <f t="shared" si="2"/>
        <v>56893.22</v>
      </c>
      <c r="G15" s="340" t="s">
        <v>265</v>
      </c>
      <c r="H15" s="376">
        <f>F15*20%</f>
        <v>11378.644</v>
      </c>
      <c r="I15" s="192">
        <v>0.2</v>
      </c>
      <c r="J15" s="193" t="s">
        <v>257</v>
      </c>
      <c r="K15" s="175">
        <f t="shared" si="0"/>
        <v>11378.644</v>
      </c>
      <c r="L15" s="199"/>
      <c r="N15" s="194">
        <v>0</v>
      </c>
      <c r="O15" s="194">
        <f>'fluxo caixa mar 2026'!O15-'fluxo caixa abr 2026 '!F15</f>
        <v>2259.7999999999956</v>
      </c>
      <c r="P15" s="194"/>
      <c r="Q15" s="194"/>
      <c r="R15" s="195">
        <f t="shared" si="1"/>
        <v>451.95999999999913</v>
      </c>
    </row>
    <row r="16" spans="1:19" ht="13.95" customHeight="1" x14ac:dyDescent="0.3">
      <c r="A16" s="216" t="s">
        <v>122</v>
      </c>
      <c r="B16" s="215" t="s">
        <v>123</v>
      </c>
      <c r="C16" s="285">
        <v>37572.300000000003</v>
      </c>
      <c r="D16" s="285">
        <f>20896.98+4535.81</f>
        <v>25432.79</v>
      </c>
      <c r="E16" s="285">
        <f>158612.6+59260.53</f>
        <v>217873.13</v>
      </c>
      <c r="F16" s="255">
        <f t="shared" si="2"/>
        <v>280878.22000000003</v>
      </c>
      <c r="G16" s="340" t="s">
        <v>178</v>
      </c>
      <c r="H16" s="376">
        <f>F16*20%</f>
        <v>56175.644000000008</v>
      </c>
      <c r="I16" s="192">
        <v>0.2</v>
      </c>
      <c r="J16" s="193" t="s">
        <v>257</v>
      </c>
      <c r="K16" s="175">
        <f t="shared" si="0"/>
        <v>56175.644000000008</v>
      </c>
      <c r="L16" s="199"/>
      <c r="N16" s="194"/>
      <c r="O16" s="194">
        <f>'fluxo caixa mar 2026'!O16-'fluxo caixa abr 2026 '!F16</f>
        <v>833517.41000000015</v>
      </c>
      <c r="P16" s="194"/>
      <c r="Q16" s="194"/>
      <c r="R16" s="195">
        <f t="shared" si="1"/>
        <v>166703.48200000005</v>
      </c>
    </row>
    <row r="17" spans="1:40" customFormat="1" x14ac:dyDescent="0.3">
      <c r="A17" s="341" t="s">
        <v>52</v>
      </c>
      <c r="B17" s="215" t="s">
        <v>59</v>
      </c>
      <c r="C17" s="285">
        <v>0</v>
      </c>
      <c r="D17" s="285">
        <v>0</v>
      </c>
      <c r="E17" s="285">
        <v>0</v>
      </c>
      <c r="F17" s="377"/>
      <c r="G17" s="265"/>
      <c r="H17" s="376">
        <v>0</v>
      </c>
      <c r="I17" s="380">
        <v>0.1</v>
      </c>
      <c r="J17" s="193" t="s">
        <v>257</v>
      </c>
      <c r="K17" s="130">
        <f t="shared" si="0"/>
        <v>0</v>
      </c>
      <c r="L17" s="37"/>
      <c r="N17" s="17">
        <v>0</v>
      </c>
      <c r="O17" s="77">
        <f>'fluxo caixa fev 2026'!O17-'fluxo caixa mar 2026'!G17</f>
        <v>0</v>
      </c>
      <c r="P17" s="17">
        <f>'fluxo caixa jan 2026'!P17-'fluxo caixa mar 2026'!G17</f>
        <v>340788.8899999999</v>
      </c>
      <c r="Q17" s="25">
        <f t="shared" ref="Q17" si="3">N17+O17*I17</f>
        <v>0</v>
      </c>
      <c r="R17" s="165"/>
      <c r="S17" s="165"/>
      <c r="T17" s="165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</row>
    <row r="18" spans="1:40" x14ac:dyDescent="0.3">
      <c r="A18" s="216" t="s">
        <v>136</v>
      </c>
      <c r="B18" s="215" t="s">
        <v>137</v>
      </c>
      <c r="C18" s="285">
        <v>125416.7</v>
      </c>
      <c r="D18" s="285">
        <v>19386.25</v>
      </c>
      <c r="E18" s="285">
        <v>83603.41</v>
      </c>
      <c r="F18" s="255">
        <f t="shared" si="2"/>
        <v>228406.36000000002</v>
      </c>
      <c r="G18" s="340" t="s">
        <v>178</v>
      </c>
      <c r="H18" s="376">
        <f>F18*15%</f>
        <v>34260.953999999998</v>
      </c>
      <c r="I18" s="192">
        <v>0.15</v>
      </c>
      <c r="J18" s="193" t="s">
        <v>257</v>
      </c>
      <c r="K18" s="175">
        <f t="shared" si="0"/>
        <v>34260.953999999998</v>
      </c>
      <c r="L18" s="199"/>
      <c r="N18" s="194"/>
      <c r="O18" s="198">
        <f>'fluxo caixa mar 2026'!O17-'fluxo caixa abr 2026 '!F18</f>
        <v>-228406.36000000002</v>
      </c>
      <c r="P18" s="198"/>
      <c r="Q18" s="194">
        <v>0</v>
      </c>
      <c r="R18" s="195">
        <f t="shared" si="1"/>
        <v>-34260.953999999998</v>
      </c>
    </row>
    <row r="19" spans="1:40" x14ac:dyDescent="0.3">
      <c r="A19" s="216" t="s">
        <v>55</v>
      </c>
      <c r="B19" s="215" t="s">
        <v>62</v>
      </c>
      <c r="C19" s="285">
        <v>2017.35</v>
      </c>
      <c r="D19" s="285">
        <v>0</v>
      </c>
      <c r="E19" s="285">
        <v>0</v>
      </c>
      <c r="F19" s="255">
        <f t="shared" si="2"/>
        <v>2017.35</v>
      </c>
      <c r="G19" s="340"/>
      <c r="H19" s="376">
        <f>F19*12.5%</f>
        <v>252.16874999999999</v>
      </c>
      <c r="I19" s="192">
        <v>0.125</v>
      </c>
      <c r="J19" s="193" t="s">
        <v>257</v>
      </c>
      <c r="K19" s="175">
        <f t="shared" si="0"/>
        <v>252.16874999999999</v>
      </c>
      <c r="L19" s="199"/>
      <c r="N19" s="194">
        <v>0</v>
      </c>
      <c r="O19" s="194">
        <f>'fluxo caixa mar 2026'!O19-'fluxo caixa abr 2026 '!F19</f>
        <v>382335.49</v>
      </c>
      <c r="P19" s="194"/>
      <c r="Q19" s="194">
        <f>Controle!K29</f>
        <v>2283.29</v>
      </c>
      <c r="R19" s="195">
        <f t="shared" si="1"/>
        <v>47791.936249999999</v>
      </c>
    </row>
    <row r="20" spans="1:40" x14ac:dyDescent="0.3">
      <c r="A20" s="216" t="s">
        <v>135</v>
      </c>
      <c r="B20" s="215" t="s">
        <v>138</v>
      </c>
      <c r="C20" s="285">
        <v>1242.82</v>
      </c>
      <c r="D20" s="285">
        <f>14300.29+2753.47</f>
        <v>17053.760000000002</v>
      </c>
      <c r="E20" s="285">
        <v>0</v>
      </c>
      <c r="F20" s="255">
        <f t="shared" si="2"/>
        <v>18296.580000000002</v>
      </c>
      <c r="G20" s="340"/>
      <c r="H20" s="376">
        <f>F20*12.5%</f>
        <v>2287.0725000000002</v>
      </c>
      <c r="I20" s="192">
        <v>0.125</v>
      </c>
      <c r="J20" s="193" t="s">
        <v>257</v>
      </c>
      <c r="K20" s="175">
        <f t="shared" si="0"/>
        <v>2287.0725000000002</v>
      </c>
      <c r="L20" s="199"/>
      <c r="N20" s="194">
        <f>'fluxo caixa mar 2026'!N20-'fluxo caixa abr 2026 '!F20</f>
        <v>374402.42</v>
      </c>
      <c r="O20" s="194">
        <f>Controle!J30-F20+65444.12+12131.07</f>
        <v>303909.63020000001</v>
      </c>
      <c r="P20" s="194"/>
      <c r="Q20" s="194"/>
      <c r="R20" s="195">
        <f t="shared" si="1"/>
        <v>412391.12377499999</v>
      </c>
    </row>
    <row r="21" spans="1:40" x14ac:dyDescent="0.3">
      <c r="A21" s="216" t="s">
        <v>54</v>
      </c>
      <c r="B21" s="215" t="s">
        <v>61</v>
      </c>
      <c r="C21" s="285">
        <v>637.98</v>
      </c>
      <c r="D21" s="285">
        <f>10225.45+2189.63</f>
        <v>12415.080000000002</v>
      </c>
      <c r="E21" s="285">
        <v>0</v>
      </c>
      <c r="F21" s="255">
        <f t="shared" si="2"/>
        <v>13053.060000000001</v>
      </c>
      <c r="G21" s="340"/>
      <c r="H21" s="376">
        <f>F21*12.5%</f>
        <v>1631.6325000000002</v>
      </c>
      <c r="I21" s="192">
        <v>0.125</v>
      </c>
      <c r="J21" s="193" t="s">
        <v>257</v>
      </c>
      <c r="K21" s="175">
        <f t="shared" si="0"/>
        <v>1631.6325000000002</v>
      </c>
      <c r="L21" s="199"/>
      <c r="N21" s="194">
        <v>0</v>
      </c>
      <c r="O21" s="194">
        <f>'fluxo caixa mar 2026'!O21-'fluxo caixa abr 2026 '!F21</f>
        <v>1132853.3899999999</v>
      </c>
      <c r="P21" s="194"/>
      <c r="Q21" s="194">
        <v>0</v>
      </c>
      <c r="R21" s="195">
        <f t="shared" si="1"/>
        <v>141606.67374999999</v>
      </c>
    </row>
    <row r="22" spans="1:40" x14ac:dyDescent="0.3">
      <c r="A22" s="216" t="s">
        <v>58</v>
      </c>
      <c r="B22" s="215" t="s">
        <v>65</v>
      </c>
      <c r="C22" s="285">
        <v>407.92</v>
      </c>
      <c r="D22" s="285">
        <v>0</v>
      </c>
      <c r="E22" s="285">
        <v>0</v>
      </c>
      <c r="F22" s="255">
        <f t="shared" si="2"/>
        <v>407.92</v>
      </c>
      <c r="G22" s="340"/>
      <c r="H22" s="376">
        <f>F22*12.5%</f>
        <v>50.99</v>
      </c>
      <c r="I22" s="192">
        <v>0.125</v>
      </c>
      <c r="J22" s="193" t="s">
        <v>257</v>
      </c>
      <c r="K22" s="175">
        <f t="shared" si="0"/>
        <v>50.99</v>
      </c>
      <c r="L22" s="199"/>
      <c r="N22" s="194">
        <v>0</v>
      </c>
      <c r="O22" s="194">
        <f>'fluxo caixa mar 2026'!O22-'fluxo caixa abr 2026 '!F22</f>
        <v>254548.37</v>
      </c>
      <c r="P22" s="194"/>
      <c r="Q22" s="194">
        <v>0</v>
      </c>
      <c r="R22" s="195">
        <f t="shared" si="1"/>
        <v>31818.546249999999</v>
      </c>
    </row>
    <row r="23" spans="1:40" x14ac:dyDescent="0.3">
      <c r="A23" s="216" t="s">
        <v>57</v>
      </c>
      <c r="B23" s="215" t="s">
        <v>64</v>
      </c>
      <c r="C23" s="285">
        <v>3103.64</v>
      </c>
      <c r="D23" s="285">
        <v>0</v>
      </c>
      <c r="E23" s="285">
        <f>25753.28+11431.18</f>
        <v>37184.46</v>
      </c>
      <c r="F23" s="255">
        <f t="shared" si="2"/>
        <v>40288.1</v>
      </c>
      <c r="G23" s="340"/>
      <c r="H23" s="376">
        <f>F23*12.5%</f>
        <v>5036.0124999999998</v>
      </c>
      <c r="I23" s="192">
        <v>0.125</v>
      </c>
      <c r="J23" s="193" t="s">
        <v>257</v>
      </c>
      <c r="K23" s="175">
        <f t="shared" si="0"/>
        <v>5036.0124999999998</v>
      </c>
      <c r="L23" s="199"/>
      <c r="N23" s="194">
        <v>0</v>
      </c>
      <c r="O23" s="194">
        <f>'fluxo caixa mar 2026'!O23</f>
        <v>1146481.03</v>
      </c>
      <c r="P23" s="194"/>
      <c r="Q23" s="194">
        <f>'fluxo caixa mar 2026'!P23-'fluxo caixa mar 2026'!G23</f>
        <v>221726.56999999998</v>
      </c>
      <c r="R23" s="195">
        <f t="shared" si="1"/>
        <v>143310.12875</v>
      </c>
    </row>
    <row r="24" spans="1:40" x14ac:dyDescent="0.3">
      <c r="A24" s="216" t="s">
        <v>56</v>
      </c>
      <c r="B24" s="215" t="s">
        <v>63</v>
      </c>
      <c r="C24" s="285">
        <v>2863.09</v>
      </c>
      <c r="D24" s="285">
        <v>0</v>
      </c>
      <c r="E24" s="285">
        <f>2178.35+1307.01</f>
        <v>3485.3599999999997</v>
      </c>
      <c r="F24" s="255">
        <f t="shared" si="2"/>
        <v>6348.45</v>
      </c>
      <c r="G24" s="340"/>
      <c r="H24" s="376">
        <f>F24*12.5%</f>
        <v>793.55624999999998</v>
      </c>
      <c r="I24" s="192">
        <v>0.125</v>
      </c>
      <c r="J24" s="193" t="s">
        <v>257</v>
      </c>
      <c r="K24" s="175">
        <f t="shared" si="0"/>
        <v>793.55624999999998</v>
      </c>
      <c r="L24" s="199"/>
      <c r="N24" s="198">
        <f>'fluxo caixa mar 2026'!N24-'fluxo caixa abr 2026 '!F24</f>
        <v>24176.809999999998</v>
      </c>
      <c r="O24" s="194">
        <v>0</v>
      </c>
      <c r="P24" s="194"/>
      <c r="Q24" s="194">
        <f>Controle!K34</f>
        <v>38213.9182</v>
      </c>
      <c r="R24" s="195">
        <f t="shared" si="1"/>
        <v>24176.809999999998</v>
      </c>
    </row>
    <row r="25" spans="1:40" x14ac:dyDescent="0.3">
      <c r="A25" s="216" t="s">
        <v>152</v>
      </c>
      <c r="B25" s="215" t="s">
        <v>153</v>
      </c>
      <c r="C25" s="285">
        <v>17850.259999999998</v>
      </c>
      <c r="D25" s="285">
        <v>0</v>
      </c>
      <c r="E25" s="285">
        <f>17517.43+8466.27</f>
        <v>25983.7</v>
      </c>
      <c r="F25" s="255">
        <f t="shared" si="2"/>
        <v>43833.96</v>
      </c>
      <c r="G25" s="340"/>
      <c r="H25" s="376">
        <f>F25*20%</f>
        <v>8766.7919999999995</v>
      </c>
      <c r="I25" s="192">
        <v>0.2</v>
      </c>
      <c r="J25" s="193" t="s">
        <v>257</v>
      </c>
      <c r="K25" s="175">
        <f t="shared" si="0"/>
        <v>8766.7919999999995</v>
      </c>
      <c r="L25" s="199"/>
      <c r="N25" s="194">
        <f>'fluxo caixa mar 2026'!N25-'fluxo caixa abr 2026 '!F25</f>
        <v>963688.99000000011</v>
      </c>
      <c r="O25" s="194">
        <f>Controle!J35</f>
        <v>127712.31</v>
      </c>
      <c r="P25" s="194"/>
      <c r="Q25" s="194"/>
      <c r="R25" s="195">
        <f t="shared" si="1"/>
        <v>989231.45200000005</v>
      </c>
    </row>
    <row r="26" spans="1:40" x14ac:dyDescent="0.3">
      <c r="A26" s="216" t="s">
        <v>157</v>
      </c>
      <c r="B26" s="215" t="s">
        <v>158</v>
      </c>
      <c r="C26" s="285">
        <v>1829.81</v>
      </c>
      <c r="D26" s="285">
        <v>0</v>
      </c>
      <c r="E26" s="285"/>
      <c r="F26" s="255">
        <f t="shared" si="2"/>
        <v>1829.81</v>
      </c>
      <c r="G26" s="340"/>
      <c r="H26" s="376">
        <f>F26*20%</f>
        <v>365.96199999999999</v>
      </c>
      <c r="I26" s="192">
        <v>0.2</v>
      </c>
      <c r="J26" s="193" t="s">
        <v>257</v>
      </c>
      <c r="K26" s="175">
        <f t="shared" si="0"/>
        <v>365.96199999999999</v>
      </c>
      <c r="L26" s="199"/>
      <c r="N26" s="194">
        <f>'fluxo caixa mar 2026'!N26-'fluxo caixa abr 2026 '!F26</f>
        <v>353123</v>
      </c>
      <c r="O26" s="194">
        <f>Controle!J36</f>
        <v>206005.26</v>
      </c>
      <c r="P26" s="194"/>
      <c r="Q26" s="194"/>
      <c r="R26" s="195">
        <f t="shared" si="1"/>
        <v>394324.05200000003</v>
      </c>
    </row>
    <row r="27" spans="1:40" x14ac:dyDescent="0.3">
      <c r="A27" s="216" t="s">
        <v>154</v>
      </c>
      <c r="B27" s="215" t="s">
        <v>155</v>
      </c>
      <c r="C27" s="285">
        <v>7818.5</v>
      </c>
      <c r="D27" s="285">
        <v>0</v>
      </c>
      <c r="E27" s="285">
        <f>3093.67+1856.2</f>
        <v>4949.87</v>
      </c>
      <c r="F27" s="255">
        <f t="shared" si="2"/>
        <v>12768.369999999999</v>
      </c>
      <c r="G27" s="340"/>
      <c r="H27" s="376">
        <f>F27*20%</f>
        <v>2553.674</v>
      </c>
      <c r="I27" s="192">
        <v>0.2</v>
      </c>
      <c r="J27" s="193" t="s">
        <v>257</v>
      </c>
      <c r="K27" s="175">
        <f t="shared" si="0"/>
        <v>2553.674</v>
      </c>
      <c r="L27" s="199"/>
      <c r="N27" s="194">
        <f>'fluxo caixa mar 2026'!N27-'fluxo caixa abr 2026 '!F27</f>
        <v>646048.14999999991</v>
      </c>
      <c r="O27" s="194">
        <f>Controle!J37</f>
        <v>61872.72</v>
      </c>
      <c r="P27" s="194"/>
      <c r="Q27" s="194"/>
      <c r="R27" s="195">
        <f t="shared" si="1"/>
        <v>658422.6939999999</v>
      </c>
    </row>
    <row r="28" spans="1:40" x14ac:dyDescent="0.3">
      <c r="A28" s="216" t="s">
        <v>236</v>
      </c>
      <c r="B28" s="215" t="s">
        <v>237</v>
      </c>
      <c r="C28" s="285">
        <v>8333.2900000000009</v>
      </c>
      <c r="D28" s="285">
        <v>4064.07</v>
      </c>
      <c r="E28" s="285">
        <f>7451.19+4470.71</f>
        <v>11921.9</v>
      </c>
      <c r="F28" s="255">
        <f t="shared" si="2"/>
        <v>24319.260000000002</v>
      </c>
      <c r="G28" s="340" t="s">
        <v>265</v>
      </c>
      <c r="H28" s="376">
        <f>F28*20%</f>
        <v>4863.8520000000008</v>
      </c>
      <c r="I28" s="192">
        <v>0.2</v>
      </c>
      <c r="J28" s="193" t="s">
        <v>257</v>
      </c>
      <c r="K28" s="175">
        <f t="shared" si="0"/>
        <v>4863.8520000000008</v>
      </c>
      <c r="L28" s="199"/>
      <c r="M28" s="201"/>
      <c r="N28" s="198">
        <f>'fluxo caixa mar 2026'!N28-'fluxo caixa abr 2026 '!F28</f>
        <v>115246.63999999998</v>
      </c>
      <c r="O28" s="194"/>
      <c r="P28" s="194"/>
      <c r="Q28" s="194"/>
      <c r="R28" s="195">
        <f t="shared" si="1"/>
        <v>115246.63999999998</v>
      </c>
    </row>
    <row r="29" spans="1:40" x14ac:dyDescent="0.3">
      <c r="A29" s="216" t="s">
        <v>238</v>
      </c>
      <c r="B29" s="215" t="s">
        <v>239</v>
      </c>
      <c r="C29" s="285">
        <v>6799.92</v>
      </c>
      <c r="D29" s="285">
        <f>524.2+109.96</f>
        <v>634.16000000000008</v>
      </c>
      <c r="E29" s="285">
        <v>8400.99</v>
      </c>
      <c r="F29" s="255">
        <f t="shared" si="2"/>
        <v>15835.07</v>
      </c>
      <c r="G29" s="340" t="s">
        <v>178</v>
      </c>
      <c r="H29" s="376">
        <f>F29*20%</f>
        <v>3167.0140000000001</v>
      </c>
      <c r="I29" s="192">
        <v>0.2</v>
      </c>
      <c r="J29" s="193" t="s">
        <v>257</v>
      </c>
      <c r="K29" s="175">
        <f t="shared" si="0"/>
        <v>3167.0140000000001</v>
      </c>
      <c r="L29" s="199"/>
      <c r="M29" s="202"/>
      <c r="N29" s="194">
        <f>'fluxo caixa mar 2026'!N29-'fluxo caixa abr 2026 '!F29</f>
        <v>66430.97</v>
      </c>
      <c r="O29" s="194"/>
      <c r="P29" s="194"/>
      <c r="Q29" s="194"/>
      <c r="R29" s="195">
        <f t="shared" si="1"/>
        <v>66430.97</v>
      </c>
    </row>
    <row r="30" spans="1:40" s="110" customFormat="1" x14ac:dyDescent="0.3">
      <c r="A30" s="216" t="s">
        <v>248</v>
      </c>
      <c r="B30" s="215" t="s">
        <v>251</v>
      </c>
      <c r="C30" s="285"/>
      <c r="D30" s="285"/>
      <c r="E30" s="285"/>
      <c r="F30" s="255">
        <f>SUM(C30:E30)</f>
        <v>0</v>
      </c>
      <c r="G30" s="340"/>
      <c r="H30" s="376"/>
      <c r="I30" s="192">
        <v>0</v>
      </c>
      <c r="J30" s="193" t="s">
        <v>257</v>
      </c>
      <c r="K30" s="175"/>
      <c r="L30" s="169"/>
      <c r="M30" s="131"/>
      <c r="N30" s="176"/>
      <c r="O30" s="177"/>
      <c r="P30" s="177"/>
      <c r="Q30" s="176"/>
      <c r="R30" s="174"/>
    </row>
    <row r="31" spans="1:40" s="110" customFormat="1" x14ac:dyDescent="0.3">
      <c r="A31" s="216" t="s">
        <v>249</v>
      </c>
      <c r="B31" s="215" t="s">
        <v>250</v>
      </c>
      <c r="C31" s="285"/>
      <c r="D31" s="285"/>
      <c r="E31" s="285"/>
      <c r="F31" s="255">
        <f t="shared" ref="F31" si="4">SUM(C31:E31)</f>
        <v>0</v>
      </c>
      <c r="G31" s="340"/>
      <c r="H31" s="376"/>
      <c r="I31" s="192">
        <v>0</v>
      </c>
      <c r="J31" s="193" t="s">
        <v>257</v>
      </c>
      <c r="K31" s="175"/>
      <c r="L31" s="169"/>
      <c r="M31" s="131"/>
      <c r="N31" s="176"/>
      <c r="O31" s="177"/>
      <c r="P31" s="177"/>
      <c r="Q31" s="176"/>
      <c r="R31" s="174"/>
    </row>
    <row r="32" spans="1:40" x14ac:dyDescent="0.3">
      <c r="A32" s="216" t="s">
        <v>253</v>
      </c>
      <c r="B32" s="219" t="s">
        <v>259</v>
      </c>
      <c r="C32" s="285">
        <v>16077.16</v>
      </c>
      <c r="D32" s="285">
        <v>10380.120000000001</v>
      </c>
      <c r="E32" s="285"/>
      <c r="F32" s="255">
        <f>SUM(C32:E32)</f>
        <v>26457.279999999999</v>
      </c>
      <c r="G32" s="340"/>
      <c r="H32" s="376">
        <f>F32*25%</f>
        <v>6614.32</v>
      </c>
      <c r="I32" s="192">
        <v>0.25</v>
      </c>
      <c r="J32" s="193" t="s">
        <v>257</v>
      </c>
      <c r="K32" s="175">
        <f>H32</f>
        <v>6614.32</v>
      </c>
      <c r="L32" s="199"/>
      <c r="N32" s="198">
        <f>'fluxo caixa mar 2026'!N32-'fluxo caixa abr 2026 '!F32</f>
        <v>146687.52000000002</v>
      </c>
      <c r="O32" s="194"/>
      <c r="P32" s="194"/>
      <c r="Q32" s="194"/>
      <c r="R32" s="195">
        <f>N32+O32*I32</f>
        <v>146687.52000000002</v>
      </c>
    </row>
    <row r="33" spans="1:20" ht="15.6" customHeight="1" x14ac:dyDescent="0.3">
      <c r="A33" s="216" t="s">
        <v>255</v>
      </c>
      <c r="B33" s="219" t="s">
        <v>263</v>
      </c>
      <c r="C33" s="285">
        <f>164609.89+501997.09+132771.62+23134.56+6953.27</f>
        <v>829466.43</v>
      </c>
      <c r="D33" s="285">
        <f>6996.99+33442.5</f>
        <v>40439.49</v>
      </c>
      <c r="E33" s="285">
        <f>301237.42+110695.47</f>
        <v>411932.89</v>
      </c>
      <c r="F33" s="255">
        <f>SUM(C33:E33)</f>
        <v>1281838.81</v>
      </c>
      <c r="G33" s="340"/>
      <c r="H33" s="376">
        <f>F33*10%</f>
        <v>128183.88100000001</v>
      </c>
      <c r="I33" s="192">
        <v>0.1</v>
      </c>
      <c r="J33" s="193" t="s">
        <v>257</v>
      </c>
      <c r="K33" s="175">
        <f>H33</f>
        <v>128183.88100000001</v>
      </c>
      <c r="L33" s="199"/>
      <c r="M33" s="201"/>
      <c r="N33" s="194">
        <f>'fluxo caixa mar 2026'!N33-'fluxo caixa abr 2026 '!F33</f>
        <v>1858006.0100000002</v>
      </c>
      <c r="O33" s="194">
        <f>'fluxo caixa mar 2026'!O33</f>
        <v>2840879.74</v>
      </c>
      <c r="P33" s="194"/>
      <c r="Q33" s="194">
        <f>'fluxo caixa mar 2026'!P33</f>
        <v>119503.56</v>
      </c>
      <c r="R33" s="203"/>
    </row>
    <row r="34" spans="1:20" s="110" customFormat="1" x14ac:dyDescent="0.3">
      <c r="A34" s="359" t="s">
        <v>272</v>
      </c>
      <c r="B34" s="219" t="s">
        <v>274</v>
      </c>
      <c r="C34" s="285"/>
      <c r="D34" s="285"/>
      <c r="E34" s="285"/>
      <c r="F34" s="255">
        <f>SUM(C34:E34)</f>
        <v>0</v>
      </c>
      <c r="G34" s="340"/>
      <c r="H34" s="376">
        <f>'fluxo caixa mar 2026'!H34</f>
        <v>47358.456750000005</v>
      </c>
      <c r="I34" s="192">
        <v>0</v>
      </c>
      <c r="J34" s="193" t="s">
        <v>257</v>
      </c>
      <c r="K34" s="175"/>
      <c r="L34" s="169"/>
      <c r="M34" s="131"/>
      <c r="N34" s="176"/>
      <c r="O34" s="177"/>
      <c r="P34" s="177"/>
      <c r="Q34" s="176"/>
      <c r="R34" s="174"/>
    </row>
    <row r="35" spans="1:20" s="110" customFormat="1" x14ac:dyDescent="0.3">
      <c r="A35" s="220" t="s">
        <v>260</v>
      </c>
      <c r="B35" s="219" t="s">
        <v>261</v>
      </c>
      <c r="C35" s="285">
        <f>68279.7+18746.82</f>
        <v>87026.51999999999</v>
      </c>
      <c r="D35" s="285">
        <f>11960.06+2591.35</f>
        <v>14551.41</v>
      </c>
      <c r="E35" s="285">
        <f>363561.81+92893.85</f>
        <v>456455.66000000003</v>
      </c>
      <c r="F35" s="255">
        <f>SUM(C35:E35)</f>
        <v>558033.59000000008</v>
      </c>
      <c r="G35" s="340"/>
      <c r="H35" s="376">
        <f>F35*20%</f>
        <v>111606.71800000002</v>
      </c>
      <c r="I35" s="192">
        <v>0.1</v>
      </c>
      <c r="J35" s="193" t="s">
        <v>257</v>
      </c>
      <c r="K35" s="175">
        <f>H35</f>
        <v>111606.71800000002</v>
      </c>
      <c r="L35" s="169"/>
      <c r="M35" s="131"/>
      <c r="N35" s="176">
        <v>0</v>
      </c>
      <c r="O35" s="177">
        <v>0</v>
      </c>
      <c r="P35" s="177">
        <f>Controle!N45-'fluxo caixa abr 2026 '!F35</f>
        <v>201808.34999999986</v>
      </c>
      <c r="Q35" s="176">
        <v>0</v>
      </c>
      <c r="R35" s="174">
        <f ca="1">SUM(R4:R36)</f>
        <v>7353831.5802749991</v>
      </c>
    </row>
    <row r="36" spans="1:20" x14ac:dyDescent="0.3">
      <c r="A36" s="216" t="s">
        <v>273</v>
      </c>
      <c r="B36" s="219" t="s">
        <v>277</v>
      </c>
      <c r="C36" s="285"/>
      <c r="D36" s="285"/>
      <c r="E36" s="285">
        <f>2906.65+4844.41</f>
        <v>7751.0599999999995</v>
      </c>
      <c r="F36" s="255">
        <f>SUM(C36:E36)</f>
        <v>7751.0599999999995</v>
      </c>
      <c r="G36" s="378" t="e">
        <f>C36+D36+#REF!+E36</f>
        <v>#REF!</v>
      </c>
      <c r="H36" s="379">
        <f>F36*20%</f>
        <v>1550.212</v>
      </c>
      <c r="I36" s="192">
        <v>20</v>
      </c>
      <c r="J36" s="193" t="s">
        <v>257</v>
      </c>
      <c r="K36" s="211">
        <f t="shared" ref="K36" si="5">H36</f>
        <v>1550.212</v>
      </c>
      <c r="L36" s="204"/>
      <c r="M36" s="204"/>
      <c r="N36" s="194"/>
      <c r="O36" s="212"/>
      <c r="P36" s="194"/>
      <c r="Q36" s="195"/>
      <c r="R36" s="205"/>
      <c r="S36" s="205"/>
      <c r="T36" s="205"/>
    </row>
    <row r="37" spans="1:20" x14ac:dyDescent="0.3">
      <c r="A37" s="216" t="s">
        <v>283</v>
      </c>
      <c r="B37" s="219" t="s">
        <v>284</v>
      </c>
      <c r="C37" s="285"/>
      <c r="D37" s="285"/>
      <c r="E37" s="285"/>
      <c r="F37" s="255"/>
      <c r="G37" s="378"/>
      <c r="H37" s="379"/>
      <c r="I37" s="192">
        <v>0</v>
      </c>
      <c r="J37" s="193" t="s">
        <v>257</v>
      </c>
      <c r="K37" s="211"/>
      <c r="L37" s="204"/>
      <c r="M37" s="248"/>
      <c r="N37" s="194"/>
      <c r="O37" s="212"/>
      <c r="P37" s="194"/>
      <c r="Q37" s="195"/>
      <c r="R37" s="205"/>
      <c r="S37" s="205"/>
      <c r="T37" s="205"/>
    </row>
    <row r="38" spans="1:20" s="110" customFormat="1" x14ac:dyDescent="0.3">
      <c r="A38" s="220" t="s">
        <v>270</v>
      </c>
      <c r="B38" s="219" t="s">
        <v>275</v>
      </c>
      <c r="C38" s="285"/>
      <c r="D38" s="285"/>
      <c r="E38" s="285"/>
      <c r="F38" s="255">
        <f>SUM(C38:E38)</f>
        <v>0</v>
      </c>
      <c r="G38" s="340"/>
      <c r="H38" s="376"/>
      <c r="I38" s="192">
        <v>0</v>
      </c>
      <c r="J38" s="193" t="s">
        <v>257</v>
      </c>
      <c r="K38" s="175"/>
      <c r="L38" s="169"/>
      <c r="M38" s="131"/>
      <c r="N38" s="176"/>
      <c r="O38" s="177"/>
      <c r="P38" s="177"/>
      <c r="Q38" s="176"/>
      <c r="R38" s="174"/>
    </row>
    <row r="39" spans="1:20" s="110" customFormat="1" x14ac:dyDescent="0.3">
      <c r="A39" s="220" t="s">
        <v>271</v>
      </c>
      <c r="B39" s="219" t="s">
        <v>276</v>
      </c>
      <c r="C39" s="285"/>
      <c r="D39" s="285"/>
      <c r="E39" s="285"/>
      <c r="F39" s="255">
        <f>SUM(C39:E39)</f>
        <v>0</v>
      </c>
      <c r="G39" s="340"/>
      <c r="H39" s="376"/>
      <c r="I39" s="192">
        <v>0</v>
      </c>
      <c r="J39" s="193" t="s">
        <v>257</v>
      </c>
      <c r="K39" s="175"/>
      <c r="L39" s="169"/>
      <c r="M39" s="131"/>
      <c r="N39" s="176"/>
      <c r="O39" s="177"/>
      <c r="P39" s="177"/>
      <c r="Q39" s="176"/>
      <c r="R39" s="174"/>
    </row>
    <row r="40" spans="1:20" x14ac:dyDescent="0.3">
      <c r="A40" s="309" t="s">
        <v>35</v>
      </c>
      <c r="B40" s="309"/>
      <c r="C40" s="270">
        <f>SUM(C4:C39)</f>
        <v>1811497.8200000003</v>
      </c>
      <c r="D40" s="270">
        <f t="shared" ref="D40:H40" si="6">SUM(D4:D39)</f>
        <v>357151.63999999996</v>
      </c>
      <c r="E40" s="270">
        <f t="shared" si="6"/>
        <v>2903925.7900000005</v>
      </c>
      <c r="F40" s="270">
        <f t="shared" si="6"/>
        <v>5072575.25</v>
      </c>
      <c r="G40" s="270" t="e">
        <f t="shared" si="6"/>
        <v>#REF!</v>
      </c>
      <c r="H40" s="270">
        <f t="shared" si="6"/>
        <v>803639.73650000023</v>
      </c>
    </row>
    <row r="45" spans="1:20" x14ac:dyDescent="0.3">
      <c r="H45" s="208"/>
      <c r="N45" s="207"/>
    </row>
    <row r="46" spans="1:20" x14ac:dyDescent="0.3">
      <c r="E46" s="210"/>
      <c r="N46" s="207"/>
    </row>
    <row r="47" spans="1:20" x14ac:dyDescent="0.3">
      <c r="D47" s="197"/>
      <c r="E47" s="210"/>
      <c r="H47" s="208"/>
      <c r="N47" s="207"/>
    </row>
    <row r="48" spans="1:20" x14ac:dyDescent="0.3">
      <c r="D48" s="197"/>
      <c r="H48" s="208"/>
      <c r="N48" s="207"/>
    </row>
    <row r="49" spans="4:14" x14ac:dyDescent="0.3">
      <c r="D49" s="197"/>
      <c r="H49" s="208"/>
      <c r="N49" s="207"/>
    </row>
    <row r="50" spans="4:14" x14ac:dyDescent="0.3">
      <c r="H50" s="208"/>
      <c r="N50" s="207"/>
    </row>
    <row r="51" spans="4:14" x14ac:dyDescent="0.3">
      <c r="H51" s="208"/>
      <c r="N51" s="207"/>
    </row>
    <row r="52" spans="4:14" x14ac:dyDescent="0.3">
      <c r="N52" s="207"/>
    </row>
    <row r="53" spans="4:14" x14ac:dyDescent="0.3">
      <c r="N53" s="207"/>
    </row>
    <row r="54" spans="4:14" x14ac:dyDescent="0.3">
      <c r="N54" s="207"/>
    </row>
    <row r="55" spans="4:14" x14ac:dyDescent="0.3">
      <c r="N55" s="207"/>
    </row>
    <row r="56" spans="4:14" x14ac:dyDescent="0.3">
      <c r="N56" s="207"/>
    </row>
    <row r="57" spans="4:14" x14ac:dyDescent="0.3">
      <c r="N57" s="207"/>
    </row>
    <row r="58" spans="4:14" x14ac:dyDescent="0.3">
      <c r="N58" s="207"/>
    </row>
    <row r="59" spans="4:14" x14ac:dyDescent="0.3">
      <c r="N59" s="207"/>
    </row>
    <row r="60" spans="4:14" x14ac:dyDescent="0.3">
      <c r="N60" s="207"/>
    </row>
    <row r="61" spans="4:14" x14ac:dyDescent="0.3">
      <c r="N61" s="207"/>
    </row>
    <row r="62" spans="4:14" x14ac:dyDescent="0.3">
      <c r="N62" s="207"/>
    </row>
    <row r="63" spans="4:14" x14ac:dyDescent="0.3">
      <c r="N63" s="207"/>
    </row>
    <row r="64" spans="4:14" x14ac:dyDescent="0.3">
      <c r="N64" s="207"/>
    </row>
    <row r="65" spans="14:14" x14ac:dyDescent="0.3">
      <c r="N65" s="207"/>
    </row>
    <row r="66" spans="14:14" x14ac:dyDescent="0.3">
      <c r="N66" s="207"/>
    </row>
    <row r="67" spans="14:14" x14ac:dyDescent="0.3">
      <c r="N67" s="207"/>
    </row>
    <row r="68" spans="14:14" x14ac:dyDescent="0.3">
      <c r="N68" s="207"/>
    </row>
    <row r="69" spans="14:14" x14ac:dyDescent="0.3">
      <c r="N69" s="207"/>
    </row>
    <row r="70" spans="14:14" x14ac:dyDescent="0.3">
      <c r="N70" s="207"/>
    </row>
    <row r="71" spans="14:14" x14ac:dyDescent="0.3">
      <c r="N71" s="207"/>
    </row>
    <row r="72" spans="14:14" x14ac:dyDescent="0.3">
      <c r="N72" s="207"/>
    </row>
    <row r="73" spans="14:14" x14ac:dyDescent="0.3">
      <c r="N73" s="207"/>
    </row>
    <row r="74" spans="14:14" x14ac:dyDescent="0.3">
      <c r="N74" s="207"/>
    </row>
    <row r="75" spans="14:14" x14ac:dyDescent="0.3">
      <c r="N75" s="207"/>
    </row>
    <row r="76" spans="14:14" x14ac:dyDescent="0.3">
      <c r="N76" s="207"/>
    </row>
    <row r="77" spans="14:14" x14ac:dyDescent="0.3">
      <c r="N77" s="207"/>
    </row>
    <row r="78" spans="14:14" x14ac:dyDescent="0.3">
      <c r="N78" s="207"/>
    </row>
    <row r="79" spans="14:14" x14ac:dyDescent="0.3">
      <c r="N79" s="207"/>
    </row>
    <row r="80" spans="14:14" x14ac:dyDescent="0.3">
      <c r="N80" s="207"/>
    </row>
    <row r="81" spans="14:14" x14ac:dyDescent="0.3">
      <c r="N81" s="207"/>
    </row>
    <row r="82" spans="14:14" x14ac:dyDescent="0.3">
      <c r="N82" s="207"/>
    </row>
    <row r="83" spans="14:14" x14ac:dyDescent="0.3">
      <c r="N83" s="207"/>
    </row>
    <row r="84" spans="14:14" x14ac:dyDescent="0.3">
      <c r="N84" s="207"/>
    </row>
    <row r="85" spans="14:14" x14ac:dyDescent="0.3">
      <c r="N85" s="207"/>
    </row>
    <row r="86" spans="14:14" x14ac:dyDescent="0.3">
      <c r="N86" s="207"/>
    </row>
    <row r="87" spans="14:14" x14ac:dyDescent="0.3">
      <c r="N87" s="207"/>
    </row>
    <row r="88" spans="14:14" x14ac:dyDescent="0.3">
      <c r="N88" s="207"/>
    </row>
    <row r="89" spans="14:14" x14ac:dyDescent="0.3">
      <c r="N89" s="207"/>
    </row>
    <row r="90" spans="14:14" x14ac:dyDescent="0.3">
      <c r="N90" s="207"/>
    </row>
    <row r="91" spans="14:14" x14ac:dyDescent="0.3">
      <c r="N91" s="207"/>
    </row>
    <row r="92" spans="14:14" x14ac:dyDescent="0.3">
      <c r="N92" s="207"/>
    </row>
    <row r="93" spans="14:14" x14ac:dyDescent="0.3">
      <c r="N93" s="207"/>
    </row>
    <row r="94" spans="14:14" x14ac:dyDescent="0.3">
      <c r="N94" s="207"/>
    </row>
    <row r="95" spans="14:14" x14ac:dyDescent="0.3">
      <c r="N95" s="207"/>
    </row>
    <row r="96" spans="14:14" x14ac:dyDescent="0.3">
      <c r="N96" s="207"/>
    </row>
    <row r="97" spans="14:14" x14ac:dyDescent="0.3">
      <c r="N97" s="207"/>
    </row>
    <row r="98" spans="14:14" x14ac:dyDescent="0.3">
      <c r="N98" s="207"/>
    </row>
    <row r="99" spans="14:14" x14ac:dyDescent="0.3">
      <c r="N99" s="207"/>
    </row>
    <row r="100" spans="14:14" x14ac:dyDescent="0.3">
      <c r="N100" s="207"/>
    </row>
    <row r="101" spans="14:14" x14ac:dyDescent="0.3">
      <c r="N101" s="207"/>
    </row>
    <row r="102" spans="14:14" x14ac:dyDescent="0.3">
      <c r="N102" s="207"/>
    </row>
    <row r="103" spans="14:14" x14ac:dyDescent="0.3">
      <c r="N103" s="207"/>
    </row>
    <row r="104" spans="14:14" x14ac:dyDescent="0.3">
      <c r="N104" s="207"/>
    </row>
    <row r="105" spans="14:14" x14ac:dyDescent="0.3">
      <c r="N105" s="207"/>
    </row>
    <row r="106" spans="14:14" x14ac:dyDescent="0.3">
      <c r="N106" s="207"/>
    </row>
    <row r="107" spans="14:14" x14ac:dyDescent="0.3">
      <c r="N107" s="207"/>
    </row>
    <row r="108" spans="14:14" x14ac:dyDescent="0.3">
      <c r="N108" s="207"/>
    </row>
    <row r="109" spans="14:14" x14ac:dyDescent="0.3">
      <c r="N109" s="207"/>
    </row>
    <row r="110" spans="14:14" x14ac:dyDescent="0.3">
      <c r="N110" s="207"/>
    </row>
    <row r="111" spans="14:14" x14ac:dyDescent="0.3">
      <c r="N111" s="207"/>
    </row>
    <row r="112" spans="14:14" x14ac:dyDescent="0.3">
      <c r="N112" s="207"/>
    </row>
    <row r="113" spans="14:14" x14ac:dyDescent="0.3">
      <c r="N113" s="207"/>
    </row>
    <row r="114" spans="14:14" x14ac:dyDescent="0.3">
      <c r="N114" s="207"/>
    </row>
    <row r="115" spans="14:14" x14ac:dyDescent="0.3">
      <c r="N115" s="207"/>
    </row>
    <row r="116" spans="14:14" x14ac:dyDescent="0.3">
      <c r="N116" s="207"/>
    </row>
    <row r="117" spans="14:14" x14ac:dyDescent="0.3">
      <c r="N117" s="207"/>
    </row>
    <row r="118" spans="14:14" x14ac:dyDescent="0.3">
      <c r="N118" s="207"/>
    </row>
    <row r="119" spans="14:14" x14ac:dyDescent="0.3">
      <c r="N119" s="207"/>
    </row>
    <row r="120" spans="14:14" x14ac:dyDescent="0.3">
      <c r="N120" s="207"/>
    </row>
    <row r="121" spans="14:14" x14ac:dyDescent="0.3">
      <c r="N121" s="207"/>
    </row>
    <row r="122" spans="14:14" x14ac:dyDescent="0.3">
      <c r="N122" s="207"/>
    </row>
    <row r="123" spans="14:14" x14ac:dyDescent="0.3">
      <c r="N123" s="207"/>
    </row>
    <row r="124" spans="14:14" x14ac:dyDescent="0.3">
      <c r="N124" s="207"/>
    </row>
    <row r="125" spans="14:14" x14ac:dyDescent="0.3">
      <c r="N125" s="207"/>
    </row>
    <row r="126" spans="14:14" x14ac:dyDescent="0.3">
      <c r="N126" s="207"/>
    </row>
    <row r="127" spans="14:14" x14ac:dyDescent="0.3">
      <c r="N127" s="207"/>
    </row>
    <row r="128" spans="14:14" x14ac:dyDescent="0.3">
      <c r="N128" s="207"/>
    </row>
    <row r="129" spans="14:14" x14ac:dyDescent="0.3">
      <c r="N129" s="207"/>
    </row>
    <row r="130" spans="14:14" x14ac:dyDescent="0.3">
      <c r="N130" s="207"/>
    </row>
    <row r="131" spans="14:14" x14ac:dyDescent="0.3">
      <c r="N131" s="207"/>
    </row>
    <row r="132" spans="14:14" x14ac:dyDescent="0.3">
      <c r="N132" s="207"/>
    </row>
    <row r="133" spans="14:14" x14ac:dyDescent="0.3">
      <c r="N133" s="207"/>
    </row>
    <row r="134" spans="14:14" x14ac:dyDescent="0.3">
      <c r="N134" s="207"/>
    </row>
    <row r="135" spans="14:14" x14ac:dyDescent="0.3">
      <c r="N135" s="207"/>
    </row>
    <row r="136" spans="14:14" x14ac:dyDescent="0.3">
      <c r="N136" s="207"/>
    </row>
    <row r="137" spans="14:14" x14ac:dyDescent="0.3">
      <c r="N137" s="207"/>
    </row>
    <row r="138" spans="14:14" x14ac:dyDescent="0.3">
      <c r="N138" s="207"/>
    </row>
    <row r="139" spans="14:14" x14ac:dyDescent="0.3">
      <c r="N139" s="207"/>
    </row>
    <row r="140" spans="14:14" x14ac:dyDescent="0.3">
      <c r="N140" s="207"/>
    </row>
    <row r="141" spans="14:14" x14ac:dyDescent="0.3">
      <c r="N141" s="207"/>
    </row>
    <row r="142" spans="14:14" x14ac:dyDescent="0.3">
      <c r="N142" s="207"/>
    </row>
    <row r="143" spans="14:14" x14ac:dyDescent="0.3">
      <c r="N143" s="207"/>
    </row>
    <row r="144" spans="14:14" x14ac:dyDescent="0.3">
      <c r="N144" s="207"/>
    </row>
    <row r="145" spans="14:14" x14ac:dyDescent="0.3">
      <c r="N145" s="207"/>
    </row>
    <row r="146" spans="14:14" x14ac:dyDescent="0.3">
      <c r="N146" s="207"/>
    </row>
    <row r="147" spans="14:14" x14ac:dyDescent="0.3">
      <c r="N147" s="207"/>
    </row>
    <row r="148" spans="14:14" x14ac:dyDescent="0.3">
      <c r="N148" s="207"/>
    </row>
    <row r="149" spans="14:14" x14ac:dyDescent="0.3">
      <c r="N149" s="207"/>
    </row>
    <row r="150" spans="14:14" x14ac:dyDescent="0.3">
      <c r="N150" s="207"/>
    </row>
    <row r="151" spans="14:14" x14ac:dyDescent="0.3">
      <c r="N151" s="207"/>
    </row>
    <row r="152" spans="14:14" x14ac:dyDescent="0.3">
      <c r="N152" s="207"/>
    </row>
    <row r="153" spans="14:14" x14ac:dyDescent="0.3">
      <c r="N153" s="207"/>
    </row>
    <row r="154" spans="14:14" x14ac:dyDescent="0.3">
      <c r="N154" s="207"/>
    </row>
    <row r="155" spans="14:14" x14ac:dyDescent="0.3">
      <c r="N155" s="207"/>
    </row>
    <row r="156" spans="14:14" x14ac:dyDescent="0.3">
      <c r="N156" s="207"/>
    </row>
    <row r="157" spans="14:14" x14ac:dyDescent="0.3">
      <c r="N157" s="207"/>
    </row>
    <row r="158" spans="14:14" x14ac:dyDescent="0.3">
      <c r="N158" s="207"/>
    </row>
    <row r="159" spans="14:14" x14ac:dyDescent="0.3">
      <c r="N159" s="207"/>
    </row>
    <row r="160" spans="14:14" x14ac:dyDescent="0.3">
      <c r="N160" s="207"/>
    </row>
    <row r="161" spans="14:14" x14ac:dyDescent="0.3">
      <c r="N161" s="207"/>
    </row>
    <row r="162" spans="14:14" x14ac:dyDescent="0.3">
      <c r="N162" s="207"/>
    </row>
    <row r="163" spans="14:14" x14ac:dyDescent="0.3">
      <c r="N163" s="207"/>
    </row>
    <row r="164" spans="14:14" x14ac:dyDescent="0.3">
      <c r="N164" s="207"/>
    </row>
    <row r="165" spans="14:14" x14ac:dyDescent="0.3">
      <c r="N165" s="207"/>
    </row>
    <row r="166" spans="14:14" x14ac:dyDescent="0.3">
      <c r="N166" s="207"/>
    </row>
    <row r="167" spans="14:14" x14ac:dyDescent="0.3">
      <c r="N167" s="207"/>
    </row>
    <row r="168" spans="14:14" x14ac:dyDescent="0.3">
      <c r="N168" s="207"/>
    </row>
    <row r="169" spans="14:14" x14ac:dyDescent="0.3">
      <c r="N169" s="207"/>
    </row>
    <row r="170" spans="14:14" x14ac:dyDescent="0.3">
      <c r="N170" s="207"/>
    </row>
    <row r="171" spans="14:14" x14ac:dyDescent="0.3">
      <c r="N171" s="207"/>
    </row>
    <row r="172" spans="14:14" x14ac:dyDescent="0.3">
      <c r="N172" s="207"/>
    </row>
    <row r="173" spans="14:14" x14ac:dyDescent="0.3">
      <c r="N173" s="207"/>
    </row>
    <row r="174" spans="14:14" x14ac:dyDescent="0.3">
      <c r="N174" s="207"/>
    </row>
    <row r="175" spans="14:14" x14ac:dyDescent="0.3">
      <c r="N175" s="207"/>
    </row>
    <row r="176" spans="14:14" x14ac:dyDescent="0.3">
      <c r="N176" s="207"/>
    </row>
    <row r="177" spans="14:14" x14ac:dyDescent="0.3">
      <c r="N177" s="207"/>
    </row>
    <row r="178" spans="14:14" x14ac:dyDescent="0.3">
      <c r="N178" s="207"/>
    </row>
    <row r="179" spans="14:14" x14ac:dyDescent="0.3">
      <c r="N179" s="207"/>
    </row>
    <row r="180" spans="14:14" x14ac:dyDescent="0.3">
      <c r="N180" s="207"/>
    </row>
    <row r="181" spans="14:14" x14ac:dyDescent="0.3">
      <c r="N181" s="207"/>
    </row>
    <row r="182" spans="14:14" x14ac:dyDescent="0.3">
      <c r="N182" s="207"/>
    </row>
    <row r="183" spans="14:14" x14ac:dyDescent="0.3">
      <c r="N183" s="207"/>
    </row>
    <row r="184" spans="14:14" x14ac:dyDescent="0.3">
      <c r="N184" s="207"/>
    </row>
    <row r="185" spans="14:14" x14ac:dyDescent="0.3">
      <c r="N185" s="207"/>
    </row>
    <row r="186" spans="14:14" x14ac:dyDescent="0.3">
      <c r="N186" s="207"/>
    </row>
    <row r="187" spans="14:14" x14ac:dyDescent="0.3">
      <c r="N187" s="207"/>
    </row>
    <row r="188" spans="14:14" x14ac:dyDescent="0.3">
      <c r="N188" s="207"/>
    </row>
    <row r="189" spans="14:14" x14ac:dyDescent="0.3">
      <c r="N189" s="207"/>
    </row>
    <row r="190" spans="14:14" x14ac:dyDescent="0.3">
      <c r="N190" s="207"/>
    </row>
    <row r="191" spans="14:14" x14ac:dyDescent="0.3">
      <c r="N191" s="207"/>
    </row>
    <row r="192" spans="14:14" x14ac:dyDescent="0.3">
      <c r="N192" s="207"/>
    </row>
    <row r="193" spans="14:14" x14ac:dyDescent="0.3">
      <c r="N193" s="207"/>
    </row>
    <row r="194" spans="14:14" x14ac:dyDescent="0.3">
      <c r="N194" s="207"/>
    </row>
    <row r="195" spans="14:14" x14ac:dyDescent="0.3">
      <c r="N195" s="207"/>
    </row>
    <row r="196" spans="14:14" x14ac:dyDescent="0.3">
      <c r="N196" s="207"/>
    </row>
    <row r="197" spans="14:14" x14ac:dyDescent="0.3">
      <c r="N197" s="207"/>
    </row>
    <row r="198" spans="14:14" x14ac:dyDescent="0.3">
      <c r="N198" s="207"/>
    </row>
    <row r="199" spans="14:14" x14ac:dyDescent="0.3">
      <c r="N199" s="207"/>
    </row>
    <row r="200" spans="14:14" x14ac:dyDescent="0.3">
      <c r="N200" s="207"/>
    </row>
    <row r="201" spans="14:14" x14ac:dyDescent="0.3">
      <c r="N201" s="207"/>
    </row>
    <row r="202" spans="14:14" x14ac:dyDescent="0.3">
      <c r="N202" s="207"/>
    </row>
    <row r="203" spans="14:14" x14ac:dyDescent="0.3">
      <c r="N203" s="207"/>
    </row>
    <row r="204" spans="14:14" x14ac:dyDescent="0.3">
      <c r="N204" s="207"/>
    </row>
    <row r="205" spans="14:14" x14ac:dyDescent="0.3">
      <c r="N205" s="207"/>
    </row>
    <row r="206" spans="14:14" x14ac:dyDescent="0.3">
      <c r="N206" s="207"/>
    </row>
    <row r="207" spans="14:14" x14ac:dyDescent="0.3">
      <c r="N207" s="207"/>
    </row>
    <row r="208" spans="14:14" x14ac:dyDescent="0.3">
      <c r="N208" s="207"/>
    </row>
    <row r="209" spans="14:14" x14ac:dyDescent="0.3">
      <c r="N209" s="207"/>
    </row>
    <row r="210" spans="14:14" x14ac:dyDescent="0.3">
      <c r="N210" s="207"/>
    </row>
    <row r="211" spans="14:14" x14ac:dyDescent="0.3">
      <c r="N211" s="207"/>
    </row>
    <row r="212" spans="14:14" x14ac:dyDescent="0.3">
      <c r="N212" s="207"/>
    </row>
    <row r="213" spans="14:14" x14ac:dyDescent="0.3">
      <c r="N213" s="207"/>
    </row>
    <row r="214" spans="14:14" x14ac:dyDescent="0.3">
      <c r="N214" s="207"/>
    </row>
    <row r="215" spans="14:14" x14ac:dyDescent="0.3">
      <c r="N215" s="207"/>
    </row>
    <row r="216" spans="14:14" x14ac:dyDescent="0.3">
      <c r="N216" s="207"/>
    </row>
    <row r="217" spans="14:14" x14ac:dyDescent="0.3">
      <c r="N217" s="207"/>
    </row>
    <row r="218" spans="14:14" x14ac:dyDescent="0.3">
      <c r="N218" s="207"/>
    </row>
    <row r="219" spans="14:14" x14ac:dyDescent="0.3">
      <c r="N219" s="207"/>
    </row>
    <row r="220" spans="14:14" x14ac:dyDescent="0.3">
      <c r="N220" s="207"/>
    </row>
    <row r="221" spans="14:14" x14ac:dyDescent="0.3">
      <c r="N221" s="207"/>
    </row>
    <row r="222" spans="14:14" x14ac:dyDescent="0.3">
      <c r="N222" s="207"/>
    </row>
    <row r="223" spans="14:14" x14ac:dyDescent="0.3">
      <c r="N223" s="207"/>
    </row>
    <row r="224" spans="14:14" x14ac:dyDescent="0.3">
      <c r="N224" s="207"/>
    </row>
    <row r="225" spans="14:14" x14ac:dyDescent="0.3">
      <c r="N225" s="207"/>
    </row>
    <row r="226" spans="14:14" x14ac:dyDescent="0.3">
      <c r="N226" s="207"/>
    </row>
    <row r="227" spans="14:14" x14ac:dyDescent="0.3">
      <c r="N227" s="207"/>
    </row>
    <row r="228" spans="14:14" x14ac:dyDescent="0.3">
      <c r="N228" s="207"/>
    </row>
    <row r="229" spans="14:14" x14ac:dyDescent="0.3">
      <c r="N229" s="207"/>
    </row>
    <row r="230" spans="14:14" x14ac:dyDescent="0.3">
      <c r="N230" s="207"/>
    </row>
    <row r="231" spans="14:14" x14ac:dyDescent="0.3">
      <c r="N231" s="207"/>
    </row>
    <row r="232" spans="14:14" x14ac:dyDescent="0.3">
      <c r="N232" s="207"/>
    </row>
    <row r="233" spans="14:14" x14ac:dyDescent="0.3">
      <c r="N233" s="207"/>
    </row>
    <row r="234" spans="14:14" x14ac:dyDescent="0.3">
      <c r="N234" s="207"/>
    </row>
    <row r="235" spans="14:14" x14ac:dyDescent="0.3">
      <c r="N235" s="207"/>
    </row>
    <row r="236" spans="14:14" x14ac:dyDescent="0.3">
      <c r="N236" s="207"/>
    </row>
    <row r="237" spans="14:14" x14ac:dyDescent="0.3">
      <c r="N237" s="207"/>
    </row>
    <row r="238" spans="14:14" x14ac:dyDescent="0.3">
      <c r="N238" s="207"/>
    </row>
    <row r="239" spans="14:14" x14ac:dyDescent="0.3">
      <c r="N239" s="207"/>
    </row>
    <row r="240" spans="14:14" x14ac:dyDescent="0.3">
      <c r="N240" s="207"/>
    </row>
    <row r="241" spans="14:14" x14ac:dyDescent="0.3">
      <c r="N241" s="207"/>
    </row>
    <row r="242" spans="14:14" x14ac:dyDescent="0.3">
      <c r="N242" s="207"/>
    </row>
    <row r="243" spans="14:14" x14ac:dyDescent="0.3">
      <c r="N243" s="207"/>
    </row>
    <row r="244" spans="14:14" x14ac:dyDescent="0.3">
      <c r="N244" s="207"/>
    </row>
    <row r="245" spans="14:14" x14ac:dyDescent="0.3">
      <c r="N245" s="207"/>
    </row>
    <row r="246" spans="14:14" x14ac:dyDescent="0.3">
      <c r="N246" s="207"/>
    </row>
    <row r="247" spans="14:14" x14ac:dyDescent="0.3">
      <c r="N247" s="207"/>
    </row>
    <row r="248" spans="14:14" x14ac:dyDescent="0.3">
      <c r="N248" s="207"/>
    </row>
    <row r="249" spans="14:14" x14ac:dyDescent="0.3">
      <c r="N249" s="207"/>
    </row>
    <row r="250" spans="14:14" x14ac:dyDescent="0.3">
      <c r="N250" s="207"/>
    </row>
    <row r="251" spans="14:14" x14ac:dyDescent="0.3">
      <c r="N251" s="207"/>
    </row>
    <row r="252" spans="14:14" x14ac:dyDescent="0.3">
      <c r="N252" s="207"/>
    </row>
    <row r="253" spans="14:14" x14ac:dyDescent="0.3">
      <c r="N253" s="207"/>
    </row>
    <row r="254" spans="14:14" x14ac:dyDescent="0.3">
      <c r="N254" s="207"/>
    </row>
    <row r="255" spans="14:14" x14ac:dyDescent="0.3">
      <c r="N255" s="207"/>
    </row>
    <row r="256" spans="14:14" x14ac:dyDescent="0.3">
      <c r="N256" s="207"/>
    </row>
    <row r="257" spans="14:14" x14ac:dyDescent="0.3">
      <c r="N257" s="207"/>
    </row>
    <row r="258" spans="14:14" x14ac:dyDescent="0.3">
      <c r="N258" s="207"/>
    </row>
    <row r="259" spans="14:14" x14ac:dyDescent="0.3">
      <c r="N259" s="207"/>
    </row>
    <row r="260" spans="14:14" x14ac:dyDescent="0.3">
      <c r="N260" s="207"/>
    </row>
    <row r="261" spans="14:14" x14ac:dyDescent="0.3">
      <c r="N261" s="207"/>
    </row>
    <row r="262" spans="14:14" x14ac:dyDescent="0.3">
      <c r="N262" s="207"/>
    </row>
    <row r="263" spans="14:14" x14ac:dyDescent="0.3">
      <c r="N263" s="207"/>
    </row>
    <row r="264" spans="14:14" x14ac:dyDescent="0.3">
      <c r="N264" s="207"/>
    </row>
    <row r="265" spans="14:14" x14ac:dyDescent="0.3">
      <c r="N265" s="207"/>
    </row>
    <row r="266" spans="14:14" x14ac:dyDescent="0.3">
      <c r="N266" s="207"/>
    </row>
    <row r="267" spans="14:14" x14ac:dyDescent="0.3">
      <c r="N267" s="207"/>
    </row>
    <row r="268" spans="14:14" x14ac:dyDescent="0.3">
      <c r="N268" s="207"/>
    </row>
    <row r="269" spans="14:14" x14ac:dyDescent="0.3">
      <c r="N269" s="207"/>
    </row>
    <row r="270" spans="14:14" x14ac:dyDescent="0.3">
      <c r="N270" s="207"/>
    </row>
    <row r="271" spans="14:14" x14ac:dyDescent="0.3">
      <c r="N271" s="207"/>
    </row>
    <row r="272" spans="14:14" x14ac:dyDescent="0.3">
      <c r="N272" s="207"/>
    </row>
    <row r="273" spans="14:14" x14ac:dyDescent="0.3">
      <c r="N273" s="207"/>
    </row>
    <row r="274" spans="14:14" x14ac:dyDescent="0.3">
      <c r="N274" s="207"/>
    </row>
    <row r="275" spans="14:14" x14ac:dyDescent="0.3">
      <c r="N275" s="207"/>
    </row>
    <row r="276" spans="14:14" x14ac:dyDescent="0.3">
      <c r="N276" s="207"/>
    </row>
    <row r="277" spans="14:14" x14ac:dyDescent="0.3">
      <c r="N277" s="207"/>
    </row>
    <row r="278" spans="14:14" x14ac:dyDescent="0.3">
      <c r="N278" s="207"/>
    </row>
    <row r="279" spans="14:14" x14ac:dyDescent="0.3">
      <c r="N279" s="207"/>
    </row>
    <row r="280" spans="14:14" x14ac:dyDescent="0.3">
      <c r="N280" s="207"/>
    </row>
    <row r="281" spans="14:14" x14ac:dyDescent="0.3">
      <c r="N281" s="207"/>
    </row>
    <row r="282" spans="14:14" x14ac:dyDescent="0.3">
      <c r="N282" s="207"/>
    </row>
    <row r="283" spans="14:14" x14ac:dyDescent="0.3">
      <c r="N283" s="207"/>
    </row>
    <row r="284" spans="14:14" x14ac:dyDescent="0.3">
      <c r="N284" s="207"/>
    </row>
    <row r="285" spans="14:14" x14ac:dyDescent="0.3">
      <c r="N285" s="207"/>
    </row>
    <row r="286" spans="14:14" x14ac:dyDescent="0.3">
      <c r="N286" s="207"/>
    </row>
    <row r="287" spans="14:14" x14ac:dyDescent="0.3">
      <c r="N287" s="207"/>
    </row>
    <row r="288" spans="14:14" x14ac:dyDescent="0.3">
      <c r="N288" s="207"/>
    </row>
    <row r="289" spans="14:14" x14ac:dyDescent="0.3">
      <c r="N289" s="207"/>
    </row>
    <row r="290" spans="14:14" x14ac:dyDescent="0.3">
      <c r="N290" s="207"/>
    </row>
    <row r="291" spans="14:14" x14ac:dyDescent="0.3">
      <c r="N291" s="207"/>
    </row>
    <row r="292" spans="14:14" x14ac:dyDescent="0.3">
      <c r="N292" s="207"/>
    </row>
    <row r="293" spans="14:14" x14ac:dyDescent="0.3">
      <c r="N293" s="207"/>
    </row>
    <row r="294" spans="14:14" x14ac:dyDescent="0.3">
      <c r="N294" s="207"/>
    </row>
    <row r="295" spans="14:14" x14ac:dyDescent="0.3">
      <c r="N295" s="207"/>
    </row>
    <row r="296" spans="14:14" x14ac:dyDescent="0.3">
      <c r="N296" s="207"/>
    </row>
    <row r="297" spans="14:14" x14ac:dyDescent="0.3">
      <c r="N297" s="207"/>
    </row>
    <row r="298" spans="14:14" x14ac:dyDescent="0.3">
      <c r="N298" s="207"/>
    </row>
    <row r="299" spans="14:14" x14ac:dyDescent="0.3">
      <c r="N299" s="207"/>
    </row>
    <row r="300" spans="14:14" x14ac:dyDescent="0.3">
      <c r="N300" s="207"/>
    </row>
    <row r="301" spans="14:14" x14ac:dyDescent="0.3">
      <c r="N301" s="207"/>
    </row>
    <row r="302" spans="14:14" x14ac:dyDescent="0.3">
      <c r="N302" s="207"/>
    </row>
    <row r="303" spans="14:14" x14ac:dyDescent="0.3">
      <c r="N303" s="207"/>
    </row>
    <row r="304" spans="14:14" x14ac:dyDescent="0.3">
      <c r="N304" s="207"/>
    </row>
    <row r="305" spans="14:14" x14ac:dyDescent="0.3">
      <c r="N305" s="207"/>
    </row>
    <row r="306" spans="14:14" x14ac:dyDescent="0.3">
      <c r="N306" s="207"/>
    </row>
    <row r="307" spans="14:14" x14ac:dyDescent="0.3">
      <c r="N307" s="207"/>
    </row>
    <row r="308" spans="14:14" x14ac:dyDescent="0.3">
      <c r="N308" s="207"/>
    </row>
    <row r="309" spans="14:14" x14ac:dyDescent="0.3">
      <c r="N309" s="207"/>
    </row>
    <row r="310" spans="14:14" x14ac:dyDescent="0.3">
      <c r="N310" s="207"/>
    </row>
    <row r="311" spans="14:14" x14ac:dyDescent="0.3">
      <c r="N311" s="207"/>
    </row>
    <row r="312" spans="14:14" x14ac:dyDescent="0.3">
      <c r="N312" s="207"/>
    </row>
    <row r="313" spans="14:14" x14ac:dyDescent="0.3">
      <c r="N313" s="207"/>
    </row>
    <row r="314" spans="14:14" x14ac:dyDescent="0.3">
      <c r="N314" s="207"/>
    </row>
    <row r="315" spans="14:14" x14ac:dyDescent="0.3">
      <c r="N315" s="207"/>
    </row>
    <row r="316" spans="14:14" x14ac:dyDescent="0.3">
      <c r="N316" s="207"/>
    </row>
    <row r="317" spans="14:14" x14ac:dyDescent="0.3">
      <c r="N317" s="207"/>
    </row>
    <row r="318" spans="14:14" x14ac:dyDescent="0.3">
      <c r="N318" s="207"/>
    </row>
    <row r="319" spans="14:14" x14ac:dyDescent="0.3">
      <c r="N319" s="207"/>
    </row>
    <row r="320" spans="14:14" x14ac:dyDescent="0.3">
      <c r="N320" s="207"/>
    </row>
    <row r="321" spans="14:14" x14ac:dyDescent="0.3">
      <c r="N321" s="207"/>
    </row>
    <row r="322" spans="14:14" x14ac:dyDescent="0.3">
      <c r="N322" s="207"/>
    </row>
    <row r="323" spans="14:14" x14ac:dyDescent="0.3">
      <c r="N323" s="207"/>
    </row>
    <row r="324" spans="14:14" x14ac:dyDescent="0.3">
      <c r="N324" s="207"/>
    </row>
    <row r="325" spans="14:14" x14ac:dyDescent="0.3">
      <c r="N325" s="207"/>
    </row>
    <row r="326" spans="14:14" x14ac:dyDescent="0.3">
      <c r="N326" s="207"/>
    </row>
    <row r="327" spans="14:14" x14ac:dyDescent="0.3">
      <c r="N327" s="207"/>
    </row>
    <row r="328" spans="14:14" x14ac:dyDescent="0.3">
      <c r="N328" s="207"/>
    </row>
    <row r="329" spans="14:14" x14ac:dyDescent="0.3">
      <c r="N329" s="207"/>
    </row>
    <row r="330" spans="14:14" x14ac:dyDescent="0.3">
      <c r="N330" s="207"/>
    </row>
    <row r="331" spans="14:14" x14ac:dyDescent="0.3">
      <c r="N331" s="207"/>
    </row>
    <row r="332" spans="14:14" x14ac:dyDescent="0.3">
      <c r="N332" s="207"/>
    </row>
    <row r="333" spans="14:14" x14ac:dyDescent="0.3">
      <c r="N333" s="207"/>
    </row>
    <row r="334" spans="14:14" x14ac:dyDescent="0.3">
      <c r="N334" s="207"/>
    </row>
    <row r="335" spans="14:14" x14ac:dyDescent="0.3">
      <c r="N335" s="207"/>
    </row>
    <row r="336" spans="14:14" x14ac:dyDescent="0.3">
      <c r="N336" s="207"/>
    </row>
    <row r="337" spans="14:14" x14ac:dyDescent="0.3">
      <c r="N337" s="207"/>
    </row>
    <row r="338" spans="14:14" x14ac:dyDescent="0.3">
      <c r="N338" s="207"/>
    </row>
    <row r="339" spans="14:14" x14ac:dyDescent="0.3">
      <c r="N339" s="207"/>
    </row>
    <row r="340" spans="14:14" x14ac:dyDescent="0.3">
      <c r="N340" s="207"/>
    </row>
    <row r="341" spans="14:14" x14ac:dyDescent="0.3">
      <c r="N341" s="207"/>
    </row>
    <row r="342" spans="14:14" x14ac:dyDescent="0.3">
      <c r="N342" s="207"/>
    </row>
    <row r="343" spans="14:14" x14ac:dyDescent="0.3">
      <c r="N343" s="207"/>
    </row>
    <row r="344" spans="14:14" x14ac:dyDescent="0.3">
      <c r="N344" s="207"/>
    </row>
    <row r="345" spans="14:14" x14ac:dyDescent="0.3">
      <c r="N345" s="207"/>
    </row>
    <row r="346" spans="14:14" x14ac:dyDescent="0.3">
      <c r="N346" s="207"/>
    </row>
    <row r="347" spans="14:14" x14ac:dyDescent="0.3">
      <c r="N347" s="207"/>
    </row>
    <row r="348" spans="14:14" x14ac:dyDescent="0.3">
      <c r="N348" s="207"/>
    </row>
    <row r="349" spans="14:14" x14ac:dyDescent="0.3">
      <c r="N349" s="207"/>
    </row>
    <row r="350" spans="14:14" x14ac:dyDescent="0.3">
      <c r="N350" s="207"/>
    </row>
    <row r="351" spans="14:14" x14ac:dyDescent="0.3">
      <c r="N351" s="207"/>
    </row>
    <row r="352" spans="14:14" x14ac:dyDescent="0.3">
      <c r="N352" s="207"/>
    </row>
    <row r="353" spans="14:14" x14ac:dyDescent="0.3">
      <c r="N353" s="207"/>
    </row>
    <row r="354" spans="14:14" x14ac:dyDescent="0.3">
      <c r="N354" s="207"/>
    </row>
    <row r="355" spans="14:14" x14ac:dyDescent="0.3">
      <c r="N355" s="207"/>
    </row>
    <row r="356" spans="14:14" x14ac:dyDescent="0.3">
      <c r="N356" s="207"/>
    </row>
    <row r="357" spans="14:14" x14ac:dyDescent="0.3">
      <c r="N357" s="207"/>
    </row>
    <row r="358" spans="14:14" x14ac:dyDescent="0.3">
      <c r="N358" s="207"/>
    </row>
    <row r="359" spans="14:14" x14ac:dyDescent="0.3">
      <c r="N359" s="207"/>
    </row>
    <row r="360" spans="14:14" x14ac:dyDescent="0.3">
      <c r="N360" s="207"/>
    </row>
    <row r="361" spans="14:14" x14ac:dyDescent="0.3">
      <c r="N361" s="207"/>
    </row>
    <row r="362" spans="14:14" x14ac:dyDescent="0.3">
      <c r="N362" s="207"/>
    </row>
    <row r="363" spans="14:14" x14ac:dyDescent="0.3">
      <c r="N363" s="207"/>
    </row>
    <row r="364" spans="14:14" x14ac:dyDescent="0.3">
      <c r="N364" s="207"/>
    </row>
    <row r="365" spans="14:14" x14ac:dyDescent="0.3">
      <c r="N365" s="207"/>
    </row>
    <row r="366" spans="14:14" x14ac:dyDescent="0.3">
      <c r="N366" s="207"/>
    </row>
    <row r="367" spans="14:14" x14ac:dyDescent="0.3">
      <c r="N367" s="207"/>
    </row>
    <row r="368" spans="14:14" x14ac:dyDescent="0.3">
      <c r="N368" s="207"/>
    </row>
    <row r="369" spans="14:14" x14ac:dyDescent="0.3">
      <c r="N369" s="207"/>
    </row>
    <row r="370" spans="14:14" x14ac:dyDescent="0.3">
      <c r="N370" s="207"/>
    </row>
    <row r="371" spans="14:14" x14ac:dyDescent="0.3">
      <c r="N371" s="207"/>
    </row>
    <row r="372" spans="14:14" x14ac:dyDescent="0.3">
      <c r="N372" s="207"/>
    </row>
    <row r="373" spans="14:14" x14ac:dyDescent="0.3">
      <c r="N373" s="207"/>
    </row>
    <row r="374" spans="14:14" x14ac:dyDescent="0.3">
      <c r="N374" s="207"/>
    </row>
    <row r="375" spans="14:14" x14ac:dyDescent="0.3">
      <c r="N375" s="207"/>
    </row>
    <row r="376" spans="14:14" x14ac:dyDescent="0.3">
      <c r="N376" s="207"/>
    </row>
    <row r="377" spans="14:14" x14ac:dyDescent="0.3">
      <c r="N377" s="207"/>
    </row>
    <row r="378" spans="14:14" x14ac:dyDescent="0.3">
      <c r="N378" s="207"/>
    </row>
    <row r="379" spans="14:14" x14ac:dyDescent="0.3">
      <c r="N379" s="207"/>
    </row>
    <row r="380" spans="14:14" x14ac:dyDescent="0.3">
      <c r="N380" s="207"/>
    </row>
    <row r="381" spans="14:14" x14ac:dyDescent="0.3">
      <c r="N381" s="207"/>
    </row>
    <row r="382" spans="14:14" x14ac:dyDescent="0.3">
      <c r="N382" s="207"/>
    </row>
    <row r="383" spans="14:14" x14ac:dyDescent="0.3">
      <c r="N383" s="207"/>
    </row>
    <row r="384" spans="14:14" x14ac:dyDescent="0.3">
      <c r="N384" s="207"/>
    </row>
    <row r="385" spans="14:14" x14ac:dyDescent="0.3">
      <c r="N385" s="207"/>
    </row>
    <row r="386" spans="14:14" x14ac:dyDescent="0.3">
      <c r="N386" s="207"/>
    </row>
    <row r="387" spans="14:14" x14ac:dyDescent="0.3">
      <c r="N387" s="207"/>
    </row>
    <row r="388" spans="14:14" x14ac:dyDescent="0.3">
      <c r="N388" s="207"/>
    </row>
    <row r="389" spans="14:14" x14ac:dyDescent="0.3">
      <c r="N389" s="207"/>
    </row>
    <row r="390" spans="14:14" x14ac:dyDescent="0.3">
      <c r="N390" s="207"/>
    </row>
    <row r="391" spans="14:14" x14ac:dyDescent="0.3">
      <c r="N391" s="207"/>
    </row>
    <row r="392" spans="14:14" x14ac:dyDescent="0.3">
      <c r="N392" s="207"/>
    </row>
    <row r="393" spans="14:14" x14ac:dyDescent="0.3">
      <c r="N393" s="207"/>
    </row>
    <row r="394" spans="14:14" x14ac:dyDescent="0.3">
      <c r="N394" s="207"/>
    </row>
    <row r="395" spans="14:14" x14ac:dyDescent="0.3">
      <c r="N395" s="207"/>
    </row>
    <row r="396" spans="14:14" x14ac:dyDescent="0.3">
      <c r="N396" s="207"/>
    </row>
    <row r="397" spans="14:14" x14ac:dyDescent="0.3">
      <c r="N397" s="207"/>
    </row>
    <row r="398" spans="14:14" x14ac:dyDescent="0.3">
      <c r="N398" s="207"/>
    </row>
    <row r="399" spans="14:14" x14ac:dyDescent="0.3">
      <c r="N399" s="207"/>
    </row>
    <row r="400" spans="14:14" x14ac:dyDescent="0.3">
      <c r="N400" s="207"/>
    </row>
    <row r="401" spans="14:14" x14ac:dyDescent="0.3">
      <c r="N401" s="207"/>
    </row>
    <row r="402" spans="14:14" x14ac:dyDescent="0.3">
      <c r="N402" s="207"/>
    </row>
    <row r="403" spans="14:14" x14ac:dyDescent="0.3">
      <c r="N403" s="207"/>
    </row>
    <row r="404" spans="14:14" x14ac:dyDescent="0.3">
      <c r="N404" s="207"/>
    </row>
    <row r="405" spans="14:14" x14ac:dyDescent="0.3">
      <c r="N405" s="207"/>
    </row>
    <row r="406" spans="14:14" x14ac:dyDescent="0.3">
      <c r="N406" s="207"/>
    </row>
    <row r="407" spans="14:14" x14ac:dyDescent="0.3">
      <c r="N407" s="207"/>
    </row>
    <row r="408" spans="14:14" x14ac:dyDescent="0.3">
      <c r="N408" s="207"/>
    </row>
    <row r="409" spans="14:14" x14ac:dyDescent="0.3">
      <c r="N409" s="207"/>
    </row>
    <row r="410" spans="14:14" x14ac:dyDescent="0.3">
      <c r="N410" s="207"/>
    </row>
    <row r="411" spans="14:14" x14ac:dyDescent="0.3">
      <c r="N411" s="207"/>
    </row>
    <row r="412" spans="14:14" x14ac:dyDescent="0.3">
      <c r="N412" s="207"/>
    </row>
    <row r="413" spans="14:14" x14ac:dyDescent="0.3">
      <c r="N413" s="207"/>
    </row>
    <row r="414" spans="14:14" x14ac:dyDescent="0.3">
      <c r="N414" s="207"/>
    </row>
    <row r="415" spans="14:14" x14ac:dyDescent="0.3">
      <c r="N415" s="207"/>
    </row>
    <row r="416" spans="14:14" x14ac:dyDescent="0.3">
      <c r="N416" s="207"/>
    </row>
    <row r="417" spans="14:14" x14ac:dyDescent="0.3">
      <c r="N417" s="207"/>
    </row>
    <row r="418" spans="14:14" x14ac:dyDescent="0.3">
      <c r="N418" s="207"/>
    </row>
    <row r="419" spans="14:14" x14ac:dyDescent="0.3">
      <c r="N419" s="207"/>
    </row>
    <row r="420" spans="14:14" x14ac:dyDescent="0.3">
      <c r="N420" s="207"/>
    </row>
    <row r="421" spans="14:14" x14ac:dyDescent="0.3">
      <c r="N421" s="207"/>
    </row>
    <row r="422" spans="14:14" x14ac:dyDescent="0.3">
      <c r="N422" s="207"/>
    </row>
    <row r="423" spans="14:14" x14ac:dyDescent="0.3">
      <c r="N423" s="207"/>
    </row>
    <row r="424" spans="14:14" x14ac:dyDescent="0.3">
      <c r="N424" s="207"/>
    </row>
    <row r="425" spans="14:14" x14ac:dyDescent="0.3">
      <c r="N425" s="207"/>
    </row>
    <row r="426" spans="14:14" x14ac:dyDescent="0.3">
      <c r="N426" s="207"/>
    </row>
    <row r="427" spans="14:14" x14ac:dyDescent="0.3">
      <c r="N427" s="207"/>
    </row>
    <row r="428" spans="14:14" x14ac:dyDescent="0.3">
      <c r="N428" s="207"/>
    </row>
    <row r="429" spans="14:14" x14ac:dyDescent="0.3">
      <c r="N429" s="207"/>
    </row>
    <row r="430" spans="14:14" x14ac:dyDescent="0.3">
      <c r="N430" s="207"/>
    </row>
    <row r="431" spans="14:14" x14ac:dyDescent="0.3">
      <c r="N431" s="207"/>
    </row>
    <row r="432" spans="14:14" x14ac:dyDescent="0.3">
      <c r="N432" s="207"/>
    </row>
    <row r="433" spans="14:14" x14ac:dyDescent="0.3">
      <c r="N433" s="207"/>
    </row>
    <row r="434" spans="14:14" x14ac:dyDescent="0.3">
      <c r="N434" s="207"/>
    </row>
    <row r="435" spans="14:14" x14ac:dyDescent="0.3">
      <c r="N435" s="207"/>
    </row>
    <row r="436" spans="14:14" x14ac:dyDescent="0.3">
      <c r="N436" s="207"/>
    </row>
    <row r="437" spans="14:14" x14ac:dyDescent="0.3">
      <c r="N437" s="207"/>
    </row>
    <row r="438" spans="14:14" x14ac:dyDescent="0.3">
      <c r="N438" s="207"/>
    </row>
    <row r="439" spans="14:14" x14ac:dyDescent="0.3">
      <c r="N439" s="207"/>
    </row>
    <row r="440" spans="14:14" x14ac:dyDescent="0.3">
      <c r="N440" s="207"/>
    </row>
    <row r="441" spans="14:14" x14ac:dyDescent="0.3">
      <c r="N441" s="207"/>
    </row>
    <row r="442" spans="14:14" x14ac:dyDescent="0.3">
      <c r="N442" s="207"/>
    </row>
    <row r="443" spans="14:14" x14ac:dyDescent="0.3">
      <c r="N443" s="207"/>
    </row>
    <row r="444" spans="14:14" x14ac:dyDescent="0.3">
      <c r="N444" s="207"/>
    </row>
    <row r="445" spans="14:14" x14ac:dyDescent="0.3">
      <c r="N445" s="207"/>
    </row>
    <row r="446" spans="14:14" x14ac:dyDescent="0.3">
      <c r="N446" s="207"/>
    </row>
    <row r="447" spans="14:14" x14ac:dyDescent="0.3">
      <c r="N447" s="207"/>
    </row>
    <row r="448" spans="14:14" x14ac:dyDescent="0.3">
      <c r="N448" s="207"/>
    </row>
    <row r="449" spans="14:14" x14ac:dyDescent="0.3">
      <c r="N449" s="207"/>
    </row>
    <row r="450" spans="14:14" x14ac:dyDescent="0.3">
      <c r="N450" s="207"/>
    </row>
    <row r="451" spans="14:14" x14ac:dyDescent="0.3">
      <c r="N451" s="207"/>
    </row>
    <row r="452" spans="14:14" x14ac:dyDescent="0.3">
      <c r="N452" s="207"/>
    </row>
    <row r="453" spans="14:14" x14ac:dyDescent="0.3">
      <c r="N453" s="207"/>
    </row>
    <row r="454" spans="14:14" x14ac:dyDescent="0.3">
      <c r="N454" s="207"/>
    </row>
    <row r="455" spans="14:14" x14ac:dyDescent="0.3">
      <c r="N455" s="207"/>
    </row>
    <row r="456" spans="14:14" x14ac:dyDescent="0.3">
      <c r="N456" s="207"/>
    </row>
    <row r="457" spans="14:14" x14ac:dyDescent="0.3">
      <c r="N457" s="207"/>
    </row>
    <row r="458" spans="14:14" x14ac:dyDescent="0.3">
      <c r="N458" s="207"/>
    </row>
    <row r="459" spans="14:14" x14ac:dyDescent="0.3">
      <c r="N459" s="207"/>
    </row>
    <row r="460" spans="14:14" x14ac:dyDescent="0.3">
      <c r="N460" s="207"/>
    </row>
    <row r="461" spans="14:14" x14ac:dyDescent="0.3">
      <c r="N461" s="207"/>
    </row>
    <row r="462" spans="14:14" x14ac:dyDescent="0.3">
      <c r="N462" s="207"/>
    </row>
    <row r="463" spans="14:14" x14ac:dyDescent="0.3">
      <c r="N463" s="207"/>
    </row>
    <row r="464" spans="14:14" x14ac:dyDescent="0.3">
      <c r="N464" s="207"/>
    </row>
    <row r="465" spans="14:14" x14ac:dyDescent="0.3">
      <c r="N465" s="207"/>
    </row>
    <row r="466" spans="14:14" x14ac:dyDescent="0.3">
      <c r="N466" s="207"/>
    </row>
    <row r="467" spans="14:14" x14ac:dyDescent="0.3">
      <c r="N467" s="207"/>
    </row>
    <row r="468" spans="14:14" x14ac:dyDescent="0.3">
      <c r="N468" s="207"/>
    </row>
    <row r="469" spans="14:14" x14ac:dyDescent="0.3">
      <c r="N469" s="207"/>
    </row>
    <row r="470" spans="14:14" x14ac:dyDescent="0.3">
      <c r="N470" s="207"/>
    </row>
    <row r="471" spans="14:14" x14ac:dyDescent="0.3">
      <c r="N471" s="207"/>
    </row>
    <row r="472" spans="14:14" x14ac:dyDescent="0.3">
      <c r="N472" s="207"/>
    </row>
    <row r="473" spans="14:14" x14ac:dyDescent="0.3">
      <c r="N473" s="207"/>
    </row>
    <row r="474" spans="14:14" x14ac:dyDescent="0.3">
      <c r="N474" s="207"/>
    </row>
    <row r="475" spans="14:14" x14ac:dyDescent="0.3">
      <c r="N475" s="207"/>
    </row>
    <row r="476" spans="14:14" x14ac:dyDescent="0.3">
      <c r="N476" s="207"/>
    </row>
    <row r="477" spans="14:14" x14ac:dyDescent="0.3">
      <c r="N477" s="207"/>
    </row>
    <row r="478" spans="14:14" x14ac:dyDescent="0.3">
      <c r="N478" s="207"/>
    </row>
    <row r="479" spans="14:14" x14ac:dyDescent="0.3">
      <c r="N479" s="207"/>
    </row>
    <row r="480" spans="14:14" x14ac:dyDescent="0.3">
      <c r="N480" s="207"/>
    </row>
    <row r="481" spans="14:14" x14ac:dyDescent="0.3">
      <c r="N481" s="207"/>
    </row>
    <row r="482" spans="14:14" x14ac:dyDescent="0.3">
      <c r="N482" s="207"/>
    </row>
    <row r="483" spans="14:14" x14ac:dyDescent="0.3">
      <c r="N483" s="207"/>
    </row>
    <row r="484" spans="14:14" x14ac:dyDescent="0.3">
      <c r="N484" s="207"/>
    </row>
    <row r="485" spans="14:14" x14ac:dyDescent="0.3">
      <c r="N485" s="207"/>
    </row>
    <row r="486" spans="14:14" x14ac:dyDescent="0.3">
      <c r="N486" s="207"/>
    </row>
    <row r="487" spans="14:14" x14ac:dyDescent="0.3">
      <c r="N487" s="207"/>
    </row>
    <row r="488" spans="14:14" x14ac:dyDescent="0.3">
      <c r="N488" s="207"/>
    </row>
    <row r="489" spans="14:14" x14ac:dyDescent="0.3">
      <c r="N489" s="207"/>
    </row>
    <row r="490" spans="14:14" x14ac:dyDescent="0.3">
      <c r="N490" s="207"/>
    </row>
    <row r="491" spans="14:14" x14ac:dyDescent="0.3">
      <c r="N491" s="207"/>
    </row>
    <row r="492" spans="14:14" x14ac:dyDescent="0.3">
      <c r="N492" s="207"/>
    </row>
    <row r="493" spans="14:14" x14ac:dyDescent="0.3">
      <c r="N493" s="207"/>
    </row>
    <row r="494" spans="14:14" x14ac:dyDescent="0.3">
      <c r="N494" s="207"/>
    </row>
    <row r="495" spans="14:14" x14ac:dyDescent="0.3">
      <c r="N495" s="207"/>
    </row>
    <row r="496" spans="14:14" x14ac:dyDescent="0.3">
      <c r="N496" s="207"/>
    </row>
    <row r="497" spans="14:14" x14ac:dyDescent="0.3">
      <c r="N497" s="207"/>
    </row>
    <row r="498" spans="14:14" x14ac:dyDescent="0.3">
      <c r="N498" s="207"/>
    </row>
    <row r="499" spans="14:14" x14ac:dyDescent="0.3">
      <c r="N499" s="207"/>
    </row>
    <row r="500" spans="14:14" x14ac:dyDescent="0.3">
      <c r="N500" s="207"/>
    </row>
    <row r="501" spans="14:14" x14ac:dyDescent="0.3">
      <c r="N501" s="207"/>
    </row>
    <row r="502" spans="14:14" x14ac:dyDescent="0.3">
      <c r="N502" s="207"/>
    </row>
    <row r="503" spans="14:14" x14ac:dyDescent="0.3">
      <c r="N503" s="207"/>
    </row>
    <row r="504" spans="14:14" x14ac:dyDescent="0.3">
      <c r="N504" s="207"/>
    </row>
    <row r="505" spans="14:14" x14ac:dyDescent="0.3">
      <c r="N505" s="207"/>
    </row>
    <row r="506" spans="14:14" x14ac:dyDescent="0.3">
      <c r="N506" s="207"/>
    </row>
    <row r="507" spans="14:14" x14ac:dyDescent="0.3">
      <c r="N507" s="207"/>
    </row>
    <row r="508" spans="14:14" x14ac:dyDescent="0.3">
      <c r="N508" s="207"/>
    </row>
    <row r="509" spans="14:14" x14ac:dyDescent="0.3">
      <c r="N509" s="207"/>
    </row>
    <row r="510" spans="14:14" x14ac:dyDescent="0.3">
      <c r="N510" s="207"/>
    </row>
    <row r="511" spans="14:14" x14ac:dyDescent="0.3">
      <c r="N511" s="207"/>
    </row>
    <row r="512" spans="14:14" x14ac:dyDescent="0.3">
      <c r="N512" s="207"/>
    </row>
    <row r="513" spans="14:14" x14ac:dyDescent="0.3">
      <c r="N513" s="207"/>
    </row>
    <row r="514" spans="14:14" x14ac:dyDescent="0.3">
      <c r="N514" s="207"/>
    </row>
    <row r="515" spans="14:14" x14ac:dyDescent="0.3">
      <c r="N515" s="207"/>
    </row>
    <row r="516" spans="14:14" x14ac:dyDescent="0.3">
      <c r="N516" s="207"/>
    </row>
    <row r="517" spans="14:14" x14ac:dyDescent="0.3">
      <c r="N517" s="207"/>
    </row>
    <row r="518" spans="14:14" x14ac:dyDescent="0.3">
      <c r="N518" s="207"/>
    </row>
    <row r="519" spans="14:14" x14ac:dyDescent="0.3">
      <c r="N519" s="207"/>
    </row>
    <row r="520" spans="14:14" x14ac:dyDescent="0.3">
      <c r="N520" s="207"/>
    </row>
    <row r="521" spans="14:14" x14ac:dyDescent="0.3">
      <c r="N521" s="207"/>
    </row>
    <row r="522" spans="14:14" x14ac:dyDescent="0.3">
      <c r="N522" s="207"/>
    </row>
    <row r="523" spans="14:14" x14ac:dyDescent="0.3">
      <c r="N523" s="207"/>
    </row>
    <row r="524" spans="14:14" x14ac:dyDescent="0.3">
      <c r="N524" s="207"/>
    </row>
    <row r="525" spans="14:14" x14ac:dyDescent="0.3">
      <c r="N525" s="207"/>
    </row>
    <row r="526" spans="14:14" x14ac:dyDescent="0.3">
      <c r="N526" s="207"/>
    </row>
    <row r="527" spans="14:14" x14ac:dyDescent="0.3">
      <c r="N527" s="207"/>
    </row>
    <row r="528" spans="14:14" x14ac:dyDescent="0.3">
      <c r="N528" s="207"/>
    </row>
    <row r="529" spans="14:14" x14ac:dyDescent="0.3">
      <c r="N529" s="207"/>
    </row>
    <row r="530" spans="14:14" x14ac:dyDescent="0.3">
      <c r="N530" s="207"/>
    </row>
    <row r="531" spans="14:14" x14ac:dyDescent="0.3">
      <c r="N531" s="207"/>
    </row>
    <row r="532" spans="14:14" x14ac:dyDescent="0.3">
      <c r="N532" s="207"/>
    </row>
    <row r="533" spans="14:14" x14ac:dyDescent="0.3">
      <c r="N533" s="207"/>
    </row>
    <row r="534" spans="14:14" x14ac:dyDescent="0.3">
      <c r="N534" s="207"/>
    </row>
    <row r="535" spans="14:14" x14ac:dyDescent="0.3">
      <c r="N535" s="207"/>
    </row>
    <row r="536" spans="14:14" x14ac:dyDescent="0.3">
      <c r="N536" s="207"/>
    </row>
    <row r="537" spans="14:14" x14ac:dyDescent="0.3">
      <c r="N537" s="207"/>
    </row>
    <row r="538" spans="14:14" x14ac:dyDescent="0.3">
      <c r="N538" s="207"/>
    </row>
    <row r="539" spans="14:14" x14ac:dyDescent="0.3">
      <c r="N539" s="207"/>
    </row>
    <row r="540" spans="14:14" x14ac:dyDescent="0.3">
      <c r="N540" s="207"/>
    </row>
    <row r="541" spans="14:14" x14ac:dyDescent="0.3">
      <c r="N541" s="207"/>
    </row>
    <row r="542" spans="14:14" x14ac:dyDescent="0.3">
      <c r="N542" s="207"/>
    </row>
    <row r="543" spans="14:14" x14ac:dyDescent="0.3">
      <c r="N543" s="207"/>
    </row>
    <row r="544" spans="14:14" x14ac:dyDescent="0.3">
      <c r="N544" s="207"/>
    </row>
    <row r="545" spans="14:14" x14ac:dyDescent="0.3">
      <c r="N545" s="207"/>
    </row>
    <row r="546" spans="14:14" x14ac:dyDescent="0.3">
      <c r="N546" s="207"/>
    </row>
    <row r="547" spans="14:14" x14ac:dyDescent="0.3">
      <c r="N547" s="207"/>
    </row>
    <row r="548" spans="14:14" x14ac:dyDescent="0.3">
      <c r="N548" s="207"/>
    </row>
    <row r="549" spans="14:14" x14ac:dyDescent="0.3">
      <c r="N549" s="207"/>
    </row>
    <row r="550" spans="14:14" x14ac:dyDescent="0.3">
      <c r="N550" s="207"/>
    </row>
    <row r="551" spans="14:14" x14ac:dyDescent="0.3">
      <c r="N551" s="207"/>
    </row>
    <row r="552" spans="14:14" x14ac:dyDescent="0.3">
      <c r="N552" s="207"/>
    </row>
    <row r="553" spans="14:14" x14ac:dyDescent="0.3">
      <c r="N553" s="207"/>
    </row>
    <row r="554" spans="14:14" x14ac:dyDescent="0.3">
      <c r="N554" s="207"/>
    </row>
    <row r="555" spans="14:14" x14ac:dyDescent="0.3">
      <c r="N555" s="207"/>
    </row>
    <row r="556" spans="14:14" x14ac:dyDescent="0.3">
      <c r="N556" s="207"/>
    </row>
    <row r="557" spans="14:14" x14ac:dyDescent="0.3">
      <c r="N557" s="207"/>
    </row>
    <row r="558" spans="14:14" x14ac:dyDescent="0.3">
      <c r="N558" s="207"/>
    </row>
    <row r="559" spans="14:14" x14ac:dyDescent="0.3">
      <c r="N559" s="207"/>
    </row>
    <row r="560" spans="14:14" x14ac:dyDescent="0.3">
      <c r="N560" s="207"/>
    </row>
    <row r="561" spans="14:14" x14ac:dyDescent="0.3">
      <c r="N561" s="207"/>
    </row>
    <row r="562" spans="14:14" x14ac:dyDescent="0.3">
      <c r="N562" s="207"/>
    </row>
    <row r="563" spans="14:14" x14ac:dyDescent="0.3">
      <c r="N563" s="207"/>
    </row>
    <row r="564" spans="14:14" x14ac:dyDescent="0.3">
      <c r="N564" s="207"/>
    </row>
    <row r="565" spans="14:14" x14ac:dyDescent="0.3">
      <c r="N565" s="207"/>
    </row>
    <row r="566" spans="14:14" x14ac:dyDescent="0.3">
      <c r="N566" s="207"/>
    </row>
    <row r="567" spans="14:14" x14ac:dyDescent="0.3">
      <c r="N567" s="207"/>
    </row>
    <row r="568" spans="14:14" x14ac:dyDescent="0.3">
      <c r="N568" s="207"/>
    </row>
    <row r="569" spans="14:14" x14ac:dyDescent="0.3">
      <c r="N569" s="207"/>
    </row>
    <row r="570" spans="14:14" x14ac:dyDescent="0.3">
      <c r="N570" s="207"/>
    </row>
    <row r="571" spans="14:14" x14ac:dyDescent="0.3">
      <c r="N571" s="207"/>
    </row>
    <row r="572" spans="14:14" x14ac:dyDescent="0.3">
      <c r="N572" s="207"/>
    </row>
    <row r="573" spans="14:14" x14ac:dyDescent="0.3">
      <c r="N573" s="207"/>
    </row>
    <row r="574" spans="14:14" x14ac:dyDescent="0.3">
      <c r="N574" s="207"/>
    </row>
    <row r="575" spans="14:14" x14ac:dyDescent="0.3">
      <c r="N575" s="207"/>
    </row>
    <row r="576" spans="14:14" x14ac:dyDescent="0.3">
      <c r="N576" s="207"/>
    </row>
    <row r="577" spans="14:14" x14ac:dyDescent="0.3">
      <c r="N577" s="207"/>
    </row>
    <row r="578" spans="14:14" x14ac:dyDescent="0.3">
      <c r="N578" s="207"/>
    </row>
    <row r="579" spans="14:14" x14ac:dyDescent="0.3">
      <c r="N579" s="207"/>
    </row>
    <row r="580" spans="14:14" x14ac:dyDescent="0.3">
      <c r="N580" s="207"/>
    </row>
    <row r="581" spans="14:14" x14ac:dyDescent="0.3">
      <c r="N581" s="207"/>
    </row>
    <row r="582" spans="14:14" x14ac:dyDescent="0.3">
      <c r="N582" s="207"/>
    </row>
    <row r="583" spans="14:14" x14ac:dyDescent="0.3">
      <c r="N583" s="207"/>
    </row>
    <row r="584" spans="14:14" x14ac:dyDescent="0.3">
      <c r="N584" s="207"/>
    </row>
    <row r="585" spans="14:14" x14ac:dyDescent="0.3">
      <c r="N585" s="207"/>
    </row>
    <row r="586" spans="14:14" x14ac:dyDescent="0.3">
      <c r="N586" s="207"/>
    </row>
    <row r="587" spans="14:14" x14ac:dyDescent="0.3">
      <c r="N587" s="207"/>
    </row>
    <row r="588" spans="14:14" x14ac:dyDescent="0.3">
      <c r="N588" s="207"/>
    </row>
    <row r="589" spans="14:14" x14ac:dyDescent="0.3">
      <c r="N589" s="207"/>
    </row>
    <row r="590" spans="14:14" x14ac:dyDescent="0.3">
      <c r="N590" s="207"/>
    </row>
    <row r="591" spans="14:14" x14ac:dyDescent="0.3">
      <c r="N591" s="207"/>
    </row>
    <row r="592" spans="14:14" x14ac:dyDescent="0.3">
      <c r="N592" s="207"/>
    </row>
    <row r="593" spans="14:14" x14ac:dyDescent="0.3">
      <c r="N593" s="207"/>
    </row>
    <row r="594" spans="14:14" x14ac:dyDescent="0.3">
      <c r="N594" s="207"/>
    </row>
    <row r="595" spans="14:14" x14ac:dyDescent="0.3">
      <c r="N595" s="207"/>
    </row>
    <row r="596" spans="14:14" x14ac:dyDescent="0.3">
      <c r="N596" s="207"/>
    </row>
    <row r="597" spans="14:14" x14ac:dyDescent="0.3">
      <c r="N597" s="207"/>
    </row>
    <row r="598" spans="14:14" x14ac:dyDescent="0.3">
      <c r="N598" s="207"/>
    </row>
    <row r="599" spans="14:14" x14ac:dyDescent="0.3">
      <c r="N599" s="207"/>
    </row>
    <row r="600" spans="14:14" x14ac:dyDescent="0.3">
      <c r="N600" s="207"/>
    </row>
    <row r="601" spans="14:14" x14ac:dyDescent="0.3">
      <c r="N601" s="207"/>
    </row>
    <row r="602" spans="14:14" x14ac:dyDescent="0.3">
      <c r="N602" s="207"/>
    </row>
    <row r="603" spans="14:14" x14ac:dyDescent="0.3">
      <c r="N603" s="207"/>
    </row>
    <row r="604" spans="14:14" x14ac:dyDescent="0.3">
      <c r="N604" s="207"/>
    </row>
    <row r="605" spans="14:14" x14ac:dyDescent="0.3">
      <c r="N605" s="207"/>
    </row>
    <row r="606" spans="14:14" x14ac:dyDescent="0.3">
      <c r="N606" s="207"/>
    </row>
    <row r="607" spans="14:14" x14ac:dyDescent="0.3">
      <c r="N607" s="207"/>
    </row>
    <row r="608" spans="14:14" x14ac:dyDescent="0.3">
      <c r="N608" s="207"/>
    </row>
    <row r="609" spans="14:14" x14ac:dyDescent="0.3">
      <c r="N609" s="207"/>
    </row>
    <row r="610" spans="14:14" x14ac:dyDescent="0.3">
      <c r="N610" s="207"/>
    </row>
    <row r="611" spans="14:14" x14ac:dyDescent="0.3">
      <c r="N611" s="207"/>
    </row>
    <row r="612" spans="14:14" x14ac:dyDescent="0.3">
      <c r="N612" s="207"/>
    </row>
    <row r="613" spans="14:14" x14ac:dyDescent="0.3">
      <c r="N613" s="207"/>
    </row>
    <row r="614" spans="14:14" x14ac:dyDescent="0.3">
      <c r="N614" s="207"/>
    </row>
    <row r="615" spans="14:14" x14ac:dyDescent="0.3">
      <c r="N615" s="207"/>
    </row>
    <row r="616" spans="14:14" x14ac:dyDescent="0.3">
      <c r="N616" s="207"/>
    </row>
    <row r="617" spans="14:14" x14ac:dyDescent="0.3">
      <c r="N617" s="207"/>
    </row>
    <row r="618" spans="14:14" x14ac:dyDescent="0.3">
      <c r="N618" s="207"/>
    </row>
    <row r="619" spans="14:14" x14ac:dyDescent="0.3">
      <c r="N619" s="207"/>
    </row>
    <row r="620" spans="14:14" x14ac:dyDescent="0.3">
      <c r="N620" s="207"/>
    </row>
    <row r="621" spans="14:14" x14ac:dyDescent="0.3">
      <c r="N621" s="207"/>
    </row>
    <row r="622" spans="14:14" x14ac:dyDescent="0.3">
      <c r="N622" s="207"/>
    </row>
    <row r="623" spans="14:14" x14ac:dyDescent="0.3">
      <c r="N623" s="207"/>
    </row>
    <row r="624" spans="14:14" x14ac:dyDescent="0.3">
      <c r="N624" s="207"/>
    </row>
    <row r="625" spans="14:14" x14ac:dyDescent="0.3">
      <c r="N625" s="207"/>
    </row>
    <row r="626" spans="14:14" x14ac:dyDescent="0.3">
      <c r="N626" s="207"/>
    </row>
    <row r="627" spans="14:14" x14ac:dyDescent="0.3">
      <c r="N627" s="207"/>
    </row>
    <row r="628" spans="14:14" x14ac:dyDescent="0.3">
      <c r="N628" s="207"/>
    </row>
    <row r="629" spans="14:14" x14ac:dyDescent="0.3">
      <c r="N629" s="207"/>
    </row>
    <row r="630" spans="14:14" x14ac:dyDescent="0.3">
      <c r="N630" s="207"/>
    </row>
    <row r="631" spans="14:14" x14ac:dyDescent="0.3">
      <c r="N631" s="207"/>
    </row>
    <row r="632" spans="14:14" x14ac:dyDescent="0.3">
      <c r="N632" s="207"/>
    </row>
    <row r="633" spans="14:14" x14ac:dyDescent="0.3">
      <c r="N633" s="207"/>
    </row>
    <row r="634" spans="14:14" x14ac:dyDescent="0.3">
      <c r="N634" s="207"/>
    </row>
    <row r="635" spans="14:14" x14ac:dyDescent="0.3">
      <c r="N635" s="207"/>
    </row>
    <row r="636" spans="14:14" x14ac:dyDescent="0.3">
      <c r="N636" s="207"/>
    </row>
    <row r="637" spans="14:14" x14ac:dyDescent="0.3">
      <c r="N637" s="207"/>
    </row>
    <row r="638" spans="14:14" x14ac:dyDescent="0.3">
      <c r="N638" s="207"/>
    </row>
    <row r="639" spans="14:14" x14ac:dyDescent="0.3">
      <c r="N639" s="207"/>
    </row>
    <row r="640" spans="14:14" x14ac:dyDescent="0.3">
      <c r="N640" s="207"/>
    </row>
    <row r="641" spans="14:14" x14ac:dyDescent="0.3">
      <c r="N641" s="207"/>
    </row>
    <row r="642" spans="14:14" x14ac:dyDescent="0.3">
      <c r="N642" s="207"/>
    </row>
    <row r="643" spans="14:14" x14ac:dyDescent="0.3">
      <c r="N643" s="207"/>
    </row>
    <row r="644" spans="14:14" x14ac:dyDescent="0.3">
      <c r="N644" s="207"/>
    </row>
    <row r="645" spans="14:14" x14ac:dyDescent="0.3">
      <c r="N645" s="207"/>
    </row>
    <row r="646" spans="14:14" x14ac:dyDescent="0.3">
      <c r="N646" s="207"/>
    </row>
    <row r="647" spans="14:14" x14ac:dyDescent="0.3">
      <c r="N647" s="207"/>
    </row>
    <row r="648" spans="14:14" x14ac:dyDescent="0.3">
      <c r="N648" s="207"/>
    </row>
    <row r="649" spans="14:14" x14ac:dyDescent="0.3">
      <c r="N649" s="207"/>
    </row>
    <row r="650" spans="14:14" x14ac:dyDescent="0.3">
      <c r="N650" s="207"/>
    </row>
    <row r="651" spans="14:14" x14ac:dyDescent="0.3">
      <c r="N651" s="207"/>
    </row>
    <row r="652" spans="14:14" x14ac:dyDescent="0.3">
      <c r="N652" s="207"/>
    </row>
    <row r="653" spans="14:14" x14ac:dyDescent="0.3">
      <c r="N653" s="207"/>
    </row>
    <row r="654" spans="14:14" x14ac:dyDescent="0.3">
      <c r="N654" s="207"/>
    </row>
    <row r="655" spans="14:14" x14ac:dyDescent="0.3">
      <c r="N655" s="207"/>
    </row>
    <row r="656" spans="14:14" x14ac:dyDescent="0.3">
      <c r="N656" s="207"/>
    </row>
    <row r="657" spans="14:14" x14ac:dyDescent="0.3">
      <c r="N657" s="207"/>
    </row>
    <row r="658" spans="14:14" x14ac:dyDescent="0.3">
      <c r="N658" s="207"/>
    </row>
    <row r="659" spans="14:14" x14ac:dyDescent="0.3">
      <c r="N659" s="207"/>
    </row>
    <row r="660" spans="14:14" x14ac:dyDescent="0.3">
      <c r="N660" s="207"/>
    </row>
    <row r="661" spans="14:14" x14ac:dyDescent="0.3">
      <c r="N661" s="207"/>
    </row>
    <row r="662" spans="14:14" x14ac:dyDescent="0.3">
      <c r="N662" s="207"/>
    </row>
    <row r="663" spans="14:14" x14ac:dyDescent="0.3">
      <c r="N663" s="207"/>
    </row>
    <row r="664" spans="14:14" x14ac:dyDescent="0.3">
      <c r="N664" s="207"/>
    </row>
    <row r="665" spans="14:14" x14ac:dyDescent="0.3">
      <c r="N665" s="207"/>
    </row>
    <row r="666" spans="14:14" x14ac:dyDescent="0.3">
      <c r="N666" s="207"/>
    </row>
    <row r="667" spans="14:14" x14ac:dyDescent="0.3">
      <c r="N667" s="207"/>
    </row>
    <row r="668" spans="14:14" x14ac:dyDescent="0.3">
      <c r="N668" s="207"/>
    </row>
    <row r="669" spans="14:14" x14ac:dyDescent="0.3">
      <c r="N669" s="207"/>
    </row>
    <row r="670" spans="14:14" x14ac:dyDescent="0.3">
      <c r="N670" s="207"/>
    </row>
    <row r="671" spans="14:14" x14ac:dyDescent="0.3">
      <c r="N671" s="207"/>
    </row>
    <row r="672" spans="14:14" x14ac:dyDescent="0.3">
      <c r="N672" s="207"/>
    </row>
    <row r="673" spans="14:14" x14ac:dyDescent="0.3">
      <c r="N673" s="207"/>
    </row>
    <row r="674" spans="14:14" x14ac:dyDescent="0.3">
      <c r="N674" s="207"/>
    </row>
    <row r="675" spans="14:14" x14ac:dyDescent="0.3">
      <c r="N675" s="207"/>
    </row>
    <row r="676" spans="14:14" x14ac:dyDescent="0.3">
      <c r="N676" s="207"/>
    </row>
    <row r="677" spans="14:14" x14ac:dyDescent="0.3">
      <c r="N677" s="207"/>
    </row>
    <row r="678" spans="14:14" x14ac:dyDescent="0.3">
      <c r="N678" s="207"/>
    </row>
    <row r="679" spans="14:14" x14ac:dyDescent="0.3">
      <c r="N679" s="207"/>
    </row>
    <row r="680" spans="14:14" x14ac:dyDescent="0.3">
      <c r="N680" s="207"/>
    </row>
    <row r="681" spans="14:14" x14ac:dyDescent="0.3">
      <c r="N681" s="207"/>
    </row>
    <row r="682" spans="14:14" x14ac:dyDescent="0.3">
      <c r="N682" s="207"/>
    </row>
    <row r="683" spans="14:14" x14ac:dyDescent="0.3">
      <c r="N683" s="207"/>
    </row>
    <row r="684" spans="14:14" x14ac:dyDescent="0.3">
      <c r="N684" s="207"/>
    </row>
    <row r="685" spans="14:14" x14ac:dyDescent="0.3">
      <c r="N685" s="207"/>
    </row>
    <row r="686" spans="14:14" x14ac:dyDescent="0.3">
      <c r="N686" s="207"/>
    </row>
    <row r="687" spans="14:14" x14ac:dyDescent="0.3">
      <c r="N687" s="207"/>
    </row>
    <row r="688" spans="14:14" x14ac:dyDescent="0.3">
      <c r="N688" s="207"/>
    </row>
    <row r="689" spans="14:14" x14ac:dyDescent="0.3">
      <c r="N689" s="207"/>
    </row>
    <row r="690" spans="14:14" x14ac:dyDescent="0.3">
      <c r="N690" s="207"/>
    </row>
    <row r="691" spans="14:14" x14ac:dyDescent="0.3">
      <c r="N691" s="207"/>
    </row>
    <row r="692" spans="14:14" x14ac:dyDescent="0.3">
      <c r="N692" s="207"/>
    </row>
    <row r="693" spans="14:14" x14ac:dyDescent="0.3">
      <c r="N693" s="207"/>
    </row>
    <row r="694" spans="14:14" x14ac:dyDescent="0.3">
      <c r="N694" s="207"/>
    </row>
    <row r="695" spans="14:14" x14ac:dyDescent="0.3">
      <c r="N695" s="207"/>
    </row>
    <row r="696" spans="14:14" x14ac:dyDescent="0.3">
      <c r="N696" s="207"/>
    </row>
    <row r="697" spans="14:14" x14ac:dyDescent="0.3">
      <c r="N697" s="207"/>
    </row>
    <row r="698" spans="14:14" x14ac:dyDescent="0.3">
      <c r="N698" s="207"/>
    </row>
    <row r="699" spans="14:14" x14ac:dyDescent="0.3">
      <c r="N699" s="207"/>
    </row>
    <row r="700" spans="14:14" x14ac:dyDescent="0.3">
      <c r="N700" s="207"/>
    </row>
    <row r="701" spans="14:14" x14ac:dyDescent="0.3">
      <c r="N701" s="207"/>
    </row>
    <row r="702" spans="14:14" x14ac:dyDescent="0.3">
      <c r="N702" s="207"/>
    </row>
    <row r="703" spans="14:14" x14ac:dyDescent="0.3">
      <c r="N703" s="207"/>
    </row>
    <row r="704" spans="14:14" x14ac:dyDescent="0.3">
      <c r="N704" s="207"/>
    </row>
    <row r="705" spans="14:14" x14ac:dyDescent="0.3">
      <c r="N705" s="207"/>
    </row>
    <row r="706" spans="14:14" x14ac:dyDescent="0.3">
      <c r="N706" s="207"/>
    </row>
    <row r="707" spans="14:14" x14ac:dyDescent="0.3">
      <c r="N707" s="207"/>
    </row>
    <row r="708" spans="14:14" x14ac:dyDescent="0.3">
      <c r="N708" s="207"/>
    </row>
    <row r="709" spans="14:14" x14ac:dyDescent="0.3">
      <c r="N709" s="207"/>
    </row>
    <row r="710" spans="14:14" x14ac:dyDescent="0.3">
      <c r="N710" s="207"/>
    </row>
    <row r="711" spans="14:14" x14ac:dyDescent="0.3">
      <c r="N711" s="207"/>
    </row>
    <row r="712" spans="14:14" x14ac:dyDescent="0.3">
      <c r="N712" s="207"/>
    </row>
    <row r="713" spans="14:14" x14ac:dyDescent="0.3">
      <c r="N713" s="207"/>
    </row>
    <row r="714" spans="14:14" x14ac:dyDescent="0.3">
      <c r="N714" s="207"/>
    </row>
    <row r="715" spans="14:14" x14ac:dyDescent="0.3">
      <c r="N715" s="207"/>
    </row>
    <row r="716" spans="14:14" x14ac:dyDescent="0.3">
      <c r="N716" s="207"/>
    </row>
    <row r="717" spans="14:14" x14ac:dyDescent="0.3">
      <c r="N717" s="207"/>
    </row>
    <row r="718" spans="14:14" x14ac:dyDescent="0.3">
      <c r="N718" s="207"/>
    </row>
    <row r="719" spans="14:14" x14ac:dyDescent="0.3">
      <c r="N719" s="207"/>
    </row>
    <row r="720" spans="14:14" x14ac:dyDescent="0.3">
      <c r="N720" s="207"/>
    </row>
    <row r="721" spans="14:14" x14ac:dyDescent="0.3">
      <c r="N721" s="207"/>
    </row>
    <row r="722" spans="14:14" x14ac:dyDescent="0.3">
      <c r="N722" s="207"/>
    </row>
    <row r="723" spans="14:14" x14ac:dyDescent="0.3">
      <c r="N723" s="207"/>
    </row>
    <row r="724" spans="14:14" x14ac:dyDescent="0.3">
      <c r="N724" s="207"/>
    </row>
    <row r="725" spans="14:14" x14ac:dyDescent="0.3">
      <c r="N725" s="207"/>
    </row>
    <row r="726" spans="14:14" x14ac:dyDescent="0.3">
      <c r="N726" s="207"/>
    </row>
    <row r="727" spans="14:14" x14ac:dyDescent="0.3">
      <c r="N727" s="207"/>
    </row>
    <row r="728" spans="14:14" x14ac:dyDescent="0.3">
      <c r="N728" s="207"/>
    </row>
    <row r="729" spans="14:14" x14ac:dyDescent="0.3">
      <c r="N729" s="207"/>
    </row>
    <row r="730" spans="14:14" x14ac:dyDescent="0.3">
      <c r="N730" s="207"/>
    </row>
    <row r="731" spans="14:14" x14ac:dyDescent="0.3">
      <c r="N731" s="207"/>
    </row>
    <row r="732" spans="14:14" x14ac:dyDescent="0.3">
      <c r="N732" s="207"/>
    </row>
    <row r="733" spans="14:14" x14ac:dyDescent="0.3">
      <c r="N733" s="207"/>
    </row>
    <row r="734" spans="14:14" x14ac:dyDescent="0.3">
      <c r="N734" s="207"/>
    </row>
    <row r="735" spans="14:14" x14ac:dyDescent="0.3">
      <c r="N735" s="207"/>
    </row>
    <row r="736" spans="14:14" x14ac:dyDescent="0.3">
      <c r="N736" s="207"/>
    </row>
    <row r="737" spans="14:14" x14ac:dyDescent="0.3">
      <c r="N737" s="207"/>
    </row>
    <row r="738" spans="14:14" x14ac:dyDescent="0.3">
      <c r="N738" s="207"/>
    </row>
    <row r="739" spans="14:14" x14ac:dyDescent="0.3">
      <c r="N739" s="207"/>
    </row>
    <row r="740" spans="14:14" x14ac:dyDescent="0.3">
      <c r="N740" s="207"/>
    </row>
    <row r="741" spans="14:14" x14ac:dyDescent="0.3">
      <c r="N741" s="207"/>
    </row>
    <row r="742" spans="14:14" x14ac:dyDescent="0.3">
      <c r="N742" s="207"/>
    </row>
    <row r="743" spans="14:14" x14ac:dyDescent="0.3">
      <c r="N743" s="207"/>
    </row>
    <row r="744" spans="14:14" x14ac:dyDescent="0.3">
      <c r="N744" s="207"/>
    </row>
    <row r="745" spans="14:14" x14ac:dyDescent="0.3">
      <c r="N745" s="207"/>
    </row>
    <row r="746" spans="14:14" x14ac:dyDescent="0.3">
      <c r="N746" s="207"/>
    </row>
    <row r="747" spans="14:14" x14ac:dyDescent="0.3">
      <c r="N747" s="207"/>
    </row>
    <row r="748" spans="14:14" x14ac:dyDescent="0.3">
      <c r="N748" s="207"/>
    </row>
    <row r="749" spans="14:14" x14ac:dyDescent="0.3">
      <c r="N749" s="207"/>
    </row>
    <row r="750" spans="14:14" x14ac:dyDescent="0.3">
      <c r="N750" s="207"/>
    </row>
    <row r="751" spans="14:14" x14ac:dyDescent="0.3">
      <c r="N751" s="207"/>
    </row>
    <row r="752" spans="14:14" x14ac:dyDescent="0.3">
      <c r="N752" s="207"/>
    </row>
    <row r="753" spans="14:14" x14ac:dyDescent="0.3">
      <c r="N753" s="207"/>
    </row>
    <row r="754" spans="14:14" x14ac:dyDescent="0.3">
      <c r="N754" s="207"/>
    </row>
    <row r="755" spans="14:14" x14ac:dyDescent="0.3">
      <c r="N755" s="207"/>
    </row>
    <row r="756" spans="14:14" x14ac:dyDescent="0.3">
      <c r="N756" s="207"/>
    </row>
    <row r="757" spans="14:14" x14ac:dyDescent="0.3">
      <c r="N757" s="207"/>
    </row>
    <row r="758" spans="14:14" x14ac:dyDescent="0.3">
      <c r="N758" s="207"/>
    </row>
    <row r="759" spans="14:14" x14ac:dyDescent="0.3">
      <c r="N759" s="207"/>
    </row>
    <row r="760" spans="14:14" x14ac:dyDescent="0.3">
      <c r="N760" s="207"/>
    </row>
    <row r="761" spans="14:14" x14ac:dyDescent="0.3">
      <c r="N761" s="207"/>
    </row>
    <row r="762" spans="14:14" x14ac:dyDescent="0.3">
      <c r="N762" s="207"/>
    </row>
    <row r="763" spans="14:14" x14ac:dyDescent="0.3">
      <c r="N763" s="207"/>
    </row>
    <row r="764" spans="14:14" x14ac:dyDescent="0.3">
      <c r="N764" s="207"/>
    </row>
    <row r="765" spans="14:14" x14ac:dyDescent="0.3">
      <c r="N765" s="207"/>
    </row>
    <row r="766" spans="14:14" x14ac:dyDescent="0.3">
      <c r="N766" s="207"/>
    </row>
    <row r="767" spans="14:14" x14ac:dyDescent="0.3">
      <c r="N767" s="207"/>
    </row>
    <row r="768" spans="14:14" x14ac:dyDescent="0.3">
      <c r="N768" s="207"/>
    </row>
    <row r="769" spans="14:14" x14ac:dyDescent="0.3">
      <c r="N769" s="207"/>
    </row>
    <row r="770" spans="14:14" x14ac:dyDescent="0.3">
      <c r="N770" s="207"/>
    </row>
    <row r="771" spans="14:14" x14ac:dyDescent="0.3">
      <c r="N771" s="207"/>
    </row>
    <row r="772" spans="14:14" x14ac:dyDescent="0.3">
      <c r="N772" s="207"/>
    </row>
    <row r="773" spans="14:14" x14ac:dyDescent="0.3">
      <c r="N773" s="207"/>
    </row>
    <row r="774" spans="14:14" x14ac:dyDescent="0.3">
      <c r="N774" s="207"/>
    </row>
    <row r="775" spans="14:14" x14ac:dyDescent="0.3">
      <c r="N775" s="207"/>
    </row>
    <row r="776" spans="14:14" x14ac:dyDescent="0.3">
      <c r="N776" s="207"/>
    </row>
    <row r="777" spans="14:14" x14ac:dyDescent="0.3">
      <c r="N777" s="207"/>
    </row>
    <row r="778" spans="14:14" x14ac:dyDescent="0.3">
      <c r="N778" s="207"/>
    </row>
    <row r="779" spans="14:14" x14ac:dyDescent="0.3">
      <c r="N779" s="207"/>
    </row>
    <row r="780" spans="14:14" x14ac:dyDescent="0.3">
      <c r="N780" s="207"/>
    </row>
    <row r="781" spans="14:14" x14ac:dyDescent="0.3">
      <c r="N781" s="207"/>
    </row>
    <row r="782" spans="14:14" x14ac:dyDescent="0.3">
      <c r="N782" s="207"/>
    </row>
    <row r="783" spans="14:14" x14ac:dyDescent="0.3">
      <c r="N783" s="207"/>
    </row>
    <row r="784" spans="14:14" x14ac:dyDescent="0.3">
      <c r="N784" s="207"/>
    </row>
    <row r="785" spans="14:14" x14ac:dyDescent="0.3">
      <c r="N785" s="207"/>
    </row>
    <row r="786" spans="14:14" x14ac:dyDescent="0.3">
      <c r="N786" s="207"/>
    </row>
    <row r="787" spans="14:14" x14ac:dyDescent="0.3">
      <c r="N787" s="207"/>
    </row>
    <row r="788" spans="14:14" x14ac:dyDescent="0.3">
      <c r="N788" s="207"/>
    </row>
    <row r="789" spans="14:14" x14ac:dyDescent="0.3">
      <c r="N789" s="207"/>
    </row>
    <row r="790" spans="14:14" x14ac:dyDescent="0.3">
      <c r="N790" s="207"/>
    </row>
    <row r="791" spans="14:14" x14ac:dyDescent="0.3">
      <c r="N791" s="207"/>
    </row>
    <row r="792" spans="14:14" x14ac:dyDescent="0.3">
      <c r="N792" s="207"/>
    </row>
    <row r="793" spans="14:14" x14ac:dyDescent="0.3">
      <c r="N793" s="207"/>
    </row>
    <row r="794" spans="14:14" x14ac:dyDescent="0.3">
      <c r="N794" s="207"/>
    </row>
    <row r="795" spans="14:14" x14ac:dyDescent="0.3">
      <c r="N795" s="207"/>
    </row>
    <row r="796" spans="14:14" x14ac:dyDescent="0.3">
      <c r="N796" s="207"/>
    </row>
    <row r="797" spans="14:14" x14ac:dyDescent="0.3">
      <c r="N797" s="207"/>
    </row>
    <row r="798" spans="14:14" x14ac:dyDescent="0.3">
      <c r="N798" s="207"/>
    </row>
    <row r="799" spans="14:14" x14ac:dyDescent="0.3">
      <c r="N799" s="207"/>
    </row>
    <row r="800" spans="14:14" x14ac:dyDescent="0.3">
      <c r="N800" s="207"/>
    </row>
    <row r="801" spans="14:14" x14ac:dyDescent="0.3">
      <c r="N801" s="207"/>
    </row>
    <row r="802" spans="14:14" x14ac:dyDescent="0.3">
      <c r="N802" s="207"/>
    </row>
    <row r="803" spans="14:14" x14ac:dyDescent="0.3">
      <c r="N803" s="207"/>
    </row>
    <row r="804" spans="14:14" x14ac:dyDescent="0.3">
      <c r="N804" s="207"/>
    </row>
    <row r="805" spans="14:14" x14ac:dyDescent="0.3">
      <c r="N805" s="207"/>
    </row>
    <row r="806" spans="14:14" x14ac:dyDescent="0.3">
      <c r="N806" s="207"/>
    </row>
    <row r="807" spans="14:14" x14ac:dyDescent="0.3">
      <c r="N807" s="207"/>
    </row>
    <row r="808" spans="14:14" x14ac:dyDescent="0.3">
      <c r="N808" s="207"/>
    </row>
    <row r="809" spans="14:14" x14ac:dyDescent="0.3">
      <c r="N809" s="207"/>
    </row>
    <row r="810" spans="14:14" x14ac:dyDescent="0.3">
      <c r="N810" s="207"/>
    </row>
    <row r="811" spans="14:14" x14ac:dyDescent="0.3">
      <c r="N811" s="207"/>
    </row>
    <row r="812" spans="14:14" x14ac:dyDescent="0.3">
      <c r="N812" s="207"/>
    </row>
    <row r="813" spans="14:14" x14ac:dyDescent="0.3">
      <c r="N813" s="207"/>
    </row>
    <row r="814" spans="14:14" x14ac:dyDescent="0.3">
      <c r="N814" s="207"/>
    </row>
    <row r="815" spans="14:14" x14ac:dyDescent="0.3">
      <c r="N815" s="207"/>
    </row>
    <row r="816" spans="14:14" x14ac:dyDescent="0.3">
      <c r="N816" s="207"/>
    </row>
    <row r="817" spans="14:14" x14ac:dyDescent="0.3">
      <c r="N817" s="207"/>
    </row>
    <row r="818" spans="14:14" x14ac:dyDescent="0.3">
      <c r="N818" s="207"/>
    </row>
    <row r="819" spans="14:14" x14ac:dyDescent="0.3">
      <c r="N819" s="207"/>
    </row>
    <row r="820" spans="14:14" x14ac:dyDescent="0.3">
      <c r="N820" s="207"/>
    </row>
    <row r="821" spans="14:14" x14ac:dyDescent="0.3">
      <c r="N821" s="207"/>
    </row>
    <row r="822" spans="14:14" x14ac:dyDescent="0.3">
      <c r="N822" s="207"/>
    </row>
    <row r="823" spans="14:14" x14ac:dyDescent="0.3">
      <c r="N823" s="207"/>
    </row>
    <row r="824" spans="14:14" x14ac:dyDescent="0.3">
      <c r="N824" s="207"/>
    </row>
    <row r="825" spans="14:14" x14ac:dyDescent="0.3">
      <c r="N825" s="207"/>
    </row>
    <row r="826" spans="14:14" x14ac:dyDescent="0.3">
      <c r="N826" s="207"/>
    </row>
    <row r="827" spans="14:14" x14ac:dyDescent="0.3">
      <c r="N827" s="207"/>
    </row>
    <row r="828" spans="14:14" x14ac:dyDescent="0.3">
      <c r="N828" s="207"/>
    </row>
    <row r="829" spans="14:14" x14ac:dyDescent="0.3">
      <c r="N829" s="207"/>
    </row>
    <row r="830" spans="14:14" x14ac:dyDescent="0.3">
      <c r="N830" s="207"/>
    </row>
    <row r="831" spans="14:14" x14ac:dyDescent="0.3">
      <c r="N831" s="207"/>
    </row>
    <row r="832" spans="14:14" x14ac:dyDescent="0.3">
      <c r="N832" s="207"/>
    </row>
    <row r="833" spans="14:14" x14ac:dyDescent="0.3">
      <c r="N833" s="207"/>
    </row>
    <row r="834" spans="14:14" x14ac:dyDescent="0.3">
      <c r="N834" s="207"/>
    </row>
    <row r="835" spans="14:14" x14ac:dyDescent="0.3">
      <c r="N835" s="207"/>
    </row>
    <row r="836" spans="14:14" x14ac:dyDescent="0.3">
      <c r="N836" s="207"/>
    </row>
    <row r="837" spans="14:14" x14ac:dyDescent="0.3">
      <c r="N837" s="207"/>
    </row>
    <row r="838" spans="14:14" x14ac:dyDescent="0.3">
      <c r="N838" s="207"/>
    </row>
    <row r="839" spans="14:14" x14ac:dyDescent="0.3">
      <c r="N839" s="207"/>
    </row>
    <row r="840" spans="14:14" x14ac:dyDescent="0.3">
      <c r="N840" s="207"/>
    </row>
    <row r="841" spans="14:14" x14ac:dyDescent="0.3">
      <c r="N841" s="207"/>
    </row>
    <row r="842" spans="14:14" x14ac:dyDescent="0.3">
      <c r="N842" s="207"/>
    </row>
    <row r="843" spans="14:14" x14ac:dyDescent="0.3">
      <c r="N843" s="207"/>
    </row>
    <row r="844" spans="14:14" x14ac:dyDescent="0.3">
      <c r="N844" s="207"/>
    </row>
    <row r="845" spans="14:14" x14ac:dyDescent="0.3">
      <c r="N845" s="207"/>
    </row>
    <row r="846" spans="14:14" x14ac:dyDescent="0.3">
      <c r="N846" s="207"/>
    </row>
    <row r="847" spans="14:14" x14ac:dyDescent="0.3">
      <c r="N847" s="207"/>
    </row>
    <row r="848" spans="14:14" x14ac:dyDescent="0.3">
      <c r="N848" s="207"/>
    </row>
    <row r="849" spans="14:14" x14ac:dyDescent="0.3">
      <c r="N849" s="207"/>
    </row>
    <row r="850" spans="14:14" x14ac:dyDescent="0.3">
      <c r="N850" s="207"/>
    </row>
    <row r="851" spans="14:14" x14ac:dyDescent="0.3">
      <c r="N851" s="207"/>
    </row>
    <row r="852" spans="14:14" x14ac:dyDescent="0.3">
      <c r="N852" s="207"/>
    </row>
    <row r="853" spans="14:14" x14ac:dyDescent="0.3">
      <c r="N853" s="207"/>
    </row>
    <row r="854" spans="14:14" x14ac:dyDescent="0.3">
      <c r="N854" s="207"/>
    </row>
    <row r="855" spans="14:14" x14ac:dyDescent="0.3">
      <c r="N855" s="207"/>
    </row>
    <row r="856" spans="14:14" x14ac:dyDescent="0.3">
      <c r="N856" s="207"/>
    </row>
    <row r="857" spans="14:14" x14ac:dyDescent="0.3">
      <c r="N857" s="207"/>
    </row>
    <row r="858" spans="14:14" x14ac:dyDescent="0.3">
      <c r="N858" s="207"/>
    </row>
    <row r="859" spans="14:14" x14ac:dyDescent="0.3">
      <c r="N859" s="207"/>
    </row>
    <row r="860" spans="14:14" x14ac:dyDescent="0.3">
      <c r="N860" s="207"/>
    </row>
    <row r="861" spans="14:14" x14ac:dyDescent="0.3">
      <c r="N861" s="207"/>
    </row>
    <row r="862" spans="14:14" x14ac:dyDescent="0.3">
      <c r="N862" s="207"/>
    </row>
    <row r="863" spans="14:14" x14ac:dyDescent="0.3">
      <c r="N863" s="207"/>
    </row>
    <row r="864" spans="14:14" x14ac:dyDescent="0.3">
      <c r="N864" s="207"/>
    </row>
    <row r="865" spans="14:14" x14ac:dyDescent="0.3">
      <c r="N865" s="207"/>
    </row>
    <row r="866" spans="14:14" x14ac:dyDescent="0.3">
      <c r="N866" s="207"/>
    </row>
    <row r="867" spans="14:14" x14ac:dyDescent="0.3">
      <c r="N867" s="207"/>
    </row>
    <row r="868" spans="14:14" x14ac:dyDescent="0.3">
      <c r="N868" s="207"/>
    </row>
    <row r="869" spans="14:14" x14ac:dyDescent="0.3">
      <c r="N869" s="207"/>
    </row>
    <row r="870" spans="14:14" x14ac:dyDescent="0.3">
      <c r="N870" s="207"/>
    </row>
    <row r="871" spans="14:14" x14ac:dyDescent="0.3">
      <c r="N871" s="207"/>
    </row>
    <row r="872" spans="14:14" x14ac:dyDescent="0.3">
      <c r="N872" s="207"/>
    </row>
    <row r="873" spans="14:14" x14ac:dyDescent="0.3">
      <c r="N873" s="207"/>
    </row>
    <row r="874" spans="14:14" x14ac:dyDescent="0.3">
      <c r="N874" s="207"/>
    </row>
    <row r="875" spans="14:14" x14ac:dyDescent="0.3">
      <c r="N875" s="207"/>
    </row>
    <row r="876" spans="14:14" x14ac:dyDescent="0.3">
      <c r="N876" s="207"/>
    </row>
    <row r="877" spans="14:14" x14ac:dyDescent="0.3">
      <c r="N877" s="207"/>
    </row>
    <row r="878" spans="14:14" x14ac:dyDescent="0.3">
      <c r="N878" s="207"/>
    </row>
    <row r="879" spans="14:14" x14ac:dyDescent="0.3">
      <c r="N879" s="207"/>
    </row>
    <row r="880" spans="14:14" x14ac:dyDescent="0.3">
      <c r="N880" s="207"/>
    </row>
    <row r="881" spans="14:14" x14ac:dyDescent="0.3">
      <c r="N881" s="207"/>
    </row>
    <row r="882" spans="14:14" x14ac:dyDescent="0.3">
      <c r="N882" s="207"/>
    </row>
    <row r="883" spans="14:14" x14ac:dyDescent="0.3">
      <c r="N883" s="207"/>
    </row>
    <row r="884" spans="14:14" x14ac:dyDescent="0.3">
      <c r="N884" s="207"/>
    </row>
    <row r="885" spans="14:14" x14ac:dyDescent="0.3">
      <c r="N885" s="207"/>
    </row>
    <row r="886" spans="14:14" x14ac:dyDescent="0.3">
      <c r="N886" s="207"/>
    </row>
    <row r="887" spans="14:14" x14ac:dyDescent="0.3">
      <c r="N887" s="207"/>
    </row>
    <row r="888" spans="14:14" x14ac:dyDescent="0.3">
      <c r="N888" s="207"/>
    </row>
    <row r="889" spans="14:14" x14ac:dyDescent="0.3">
      <c r="N889" s="207"/>
    </row>
    <row r="890" spans="14:14" x14ac:dyDescent="0.3">
      <c r="N890" s="207"/>
    </row>
    <row r="891" spans="14:14" x14ac:dyDescent="0.3">
      <c r="N891" s="207"/>
    </row>
    <row r="892" spans="14:14" x14ac:dyDescent="0.3">
      <c r="N892" s="207"/>
    </row>
    <row r="893" spans="14:14" x14ac:dyDescent="0.3">
      <c r="N893" s="207"/>
    </row>
    <row r="894" spans="14:14" x14ac:dyDescent="0.3">
      <c r="N894" s="207"/>
    </row>
    <row r="895" spans="14:14" x14ac:dyDescent="0.3">
      <c r="N895" s="207"/>
    </row>
    <row r="896" spans="14:14" x14ac:dyDescent="0.3">
      <c r="N896" s="207"/>
    </row>
    <row r="897" spans="14:14" x14ac:dyDescent="0.3">
      <c r="N897" s="207"/>
    </row>
    <row r="898" spans="14:14" x14ac:dyDescent="0.3">
      <c r="N898" s="207"/>
    </row>
    <row r="899" spans="14:14" x14ac:dyDescent="0.3">
      <c r="N899" s="207"/>
    </row>
    <row r="900" spans="14:14" x14ac:dyDescent="0.3">
      <c r="N900" s="207"/>
    </row>
    <row r="901" spans="14:14" x14ac:dyDescent="0.3">
      <c r="N901" s="207"/>
    </row>
    <row r="902" spans="14:14" x14ac:dyDescent="0.3">
      <c r="N902" s="207"/>
    </row>
    <row r="903" spans="14:14" x14ac:dyDescent="0.3">
      <c r="N903" s="207"/>
    </row>
    <row r="904" spans="14:14" x14ac:dyDescent="0.3">
      <c r="N904" s="207"/>
    </row>
    <row r="905" spans="14:14" x14ac:dyDescent="0.3">
      <c r="N905" s="207"/>
    </row>
    <row r="906" spans="14:14" x14ac:dyDescent="0.3">
      <c r="N906" s="207"/>
    </row>
    <row r="907" spans="14:14" x14ac:dyDescent="0.3">
      <c r="N907" s="207"/>
    </row>
    <row r="908" spans="14:14" x14ac:dyDescent="0.3">
      <c r="N908" s="207"/>
    </row>
    <row r="909" spans="14:14" x14ac:dyDescent="0.3">
      <c r="N909" s="207"/>
    </row>
    <row r="910" spans="14:14" x14ac:dyDescent="0.3">
      <c r="N910" s="207"/>
    </row>
    <row r="911" spans="14:14" x14ac:dyDescent="0.3">
      <c r="N911" s="207"/>
    </row>
    <row r="912" spans="14:14" x14ac:dyDescent="0.3">
      <c r="N912" s="207"/>
    </row>
    <row r="913" spans="14:14" x14ac:dyDescent="0.3">
      <c r="N913" s="207"/>
    </row>
    <row r="914" spans="14:14" x14ac:dyDescent="0.3">
      <c r="N914" s="207"/>
    </row>
    <row r="915" spans="14:14" x14ac:dyDescent="0.3">
      <c r="N915" s="207"/>
    </row>
    <row r="916" spans="14:14" x14ac:dyDescent="0.3">
      <c r="N916" s="207"/>
    </row>
    <row r="917" spans="14:14" x14ac:dyDescent="0.3">
      <c r="N917" s="207"/>
    </row>
    <row r="918" spans="14:14" x14ac:dyDescent="0.3">
      <c r="N918" s="207"/>
    </row>
    <row r="919" spans="14:14" x14ac:dyDescent="0.3">
      <c r="N919" s="207"/>
    </row>
    <row r="920" spans="14:14" x14ac:dyDescent="0.3">
      <c r="N920" s="207"/>
    </row>
    <row r="921" spans="14:14" x14ac:dyDescent="0.3">
      <c r="N921" s="207"/>
    </row>
    <row r="922" spans="14:14" x14ac:dyDescent="0.3">
      <c r="N922" s="207"/>
    </row>
    <row r="923" spans="14:14" x14ac:dyDescent="0.3">
      <c r="N923" s="207"/>
    </row>
    <row r="924" spans="14:14" x14ac:dyDescent="0.3">
      <c r="N924" s="207"/>
    </row>
    <row r="925" spans="14:14" x14ac:dyDescent="0.3">
      <c r="N925" s="207"/>
    </row>
    <row r="926" spans="14:14" x14ac:dyDescent="0.3">
      <c r="N926" s="207"/>
    </row>
    <row r="927" spans="14:14" x14ac:dyDescent="0.3">
      <c r="N927" s="207"/>
    </row>
    <row r="928" spans="14:14" x14ac:dyDescent="0.3">
      <c r="N928" s="207"/>
    </row>
    <row r="929" spans="14:14" x14ac:dyDescent="0.3">
      <c r="N929" s="207"/>
    </row>
    <row r="930" spans="14:14" x14ac:dyDescent="0.3">
      <c r="N930" s="207"/>
    </row>
    <row r="931" spans="14:14" x14ac:dyDescent="0.3">
      <c r="N931" s="207"/>
    </row>
    <row r="932" spans="14:14" x14ac:dyDescent="0.3">
      <c r="N932" s="207"/>
    </row>
    <row r="933" spans="14:14" x14ac:dyDescent="0.3">
      <c r="N933" s="207"/>
    </row>
    <row r="934" spans="14:14" x14ac:dyDescent="0.3">
      <c r="N934" s="207"/>
    </row>
    <row r="935" spans="14:14" x14ac:dyDescent="0.3">
      <c r="N935" s="207"/>
    </row>
    <row r="936" spans="14:14" x14ac:dyDescent="0.3">
      <c r="N936" s="207"/>
    </row>
    <row r="937" spans="14:14" x14ac:dyDescent="0.3">
      <c r="N937" s="207"/>
    </row>
    <row r="938" spans="14:14" x14ac:dyDescent="0.3">
      <c r="N938" s="207"/>
    </row>
    <row r="939" spans="14:14" x14ac:dyDescent="0.3">
      <c r="N939" s="207"/>
    </row>
    <row r="940" spans="14:14" x14ac:dyDescent="0.3">
      <c r="N940" s="207"/>
    </row>
    <row r="941" spans="14:14" x14ac:dyDescent="0.3">
      <c r="N941" s="207"/>
    </row>
    <row r="942" spans="14:14" x14ac:dyDescent="0.3">
      <c r="N942" s="207"/>
    </row>
    <row r="943" spans="14:14" x14ac:dyDescent="0.3">
      <c r="N943" s="207"/>
    </row>
    <row r="944" spans="14:14" x14ac:dyDescent="0.3">
      <c r="N944" s="207"/>
    </row>
    <row r="945" spans="14:14" x14ac:dyDescent="0.3">
      <c r="N945" s="207"/>
    </row>
    <row r="946" spans="14:14" x14ac:dyDescent="0.3">
      <c r="N946" s="207"/>
    </row>
    <row r="947" spans="14:14" x14ac:dyDescent="0.3">
      <c r="N947" s="207"/>
    </row>
    <row r="948" spans="14:14" x14ac:dyDescent="0.3">
      <c r="N948" s="207"/>
    </row>
    <row r="949" spans="14:14" x14ac:dyDescent="0.3">
      <c r="N949" s="207"/>
    </row>
    <row r="950" spans="14:14" x14ac:dyDescent="0.3">
      <c r="N950" s="207"/>
    </row>
    <row r="951" spans="14:14" x14ac:dyDescent="0.3">
      <c r="N951" s="207"/>
    </row>
    <row r="952" spans="14:14" x14ac:dyDescent="0.3">
      <c r="N952" s="207"/>
    </row>
    <row r="953" spans="14:14" x14ac:dyDescent="0.3">
      <c r="N953" s="207"/>
    </row>
    <row r="954" spans="14:14" x14ac:dyDescent="0.3">
      <c r="N954" s="207"/>
    </row>
    <row r="955" spans="14:14" x14ac:dyDescent="0.3">
      <c r="N955" s="207"/>
    </row>
    <row r="956" spans="14:14" x14ac:dyDescent="0.3">
      <c r="N956" s="207"/>
    </row>
    <row r="957" spans="14:14" x14ac:dyDescent="0.3">
      <c r="N957" s="207"/>
    </row>
    <row r="958" spans="14:14" x14ac:dyDescent="0.3">
      <c r="N958" s="207"/>
    </row>
    <row r="959" spans="14:14" x14ac:dyDescent="0.3">
      <c r="N959" s="207"/>
    </row>
    <row r="960" spans="14:14" x14ac:dyDescent="0.3">
      <c r="N960" s="207"/>
    </row>
    <row r="961" spans="14:14" x14ac:dyDescent="0.3">
      <c r="N961" s="207"/>
    </row>
    <row r="962" spans="14:14" x14ac:dyDescent="0.3">
      <c r="N962" s="207"/>
    </row>
    <row r="963" spans="14:14" x14ac:dyDescent="0.3">
      <c r="N963" s="207"/>
    </row>
    <row r="964" spans="14:14" x14ac:dyDescent="0.3">
      <c r="N964" s="207"/>
    </row>
  </sheetData>
  <autoFilter ref="A3:T44" xr:uid="{18F708FB-09B6-48DA-AC7A-6AEBBD6ED7CA}"/>
  <mergeCells count="11">
    <mergeCell ref="K1:K3"/>
    <mergeCell ref="L1:L3"/>
    <mergeCell ref="N1:Q2"/>
    <mergeCell ref="A1:G1"/>
    <mergeCell ref="A2:A3"/>
    <mergeCell ref="B2:B3"/>
    <mergeCell ref="C2:F2"/>
    <mergeCell ref="H1:H3"/>
    <mergeCell ref="I1:I3"/>
    <mergeCell ref="J1:J3"/>
    <mergeCell ref="A40:B40"/>
  </mergeCells>
  <phoneticPr fontId="41" type="noConversion"/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2BBC-D652-4714-A13A-FB6C357F3709}">
  <dimension ref="A1:AE48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5" sqref="J5"/>
    </sheetView>
  </sheetViews>
  <sheetFormatPr defaultColWidth="8.6640625" defaultRowHeight="14.4" x14ac:dyDescent="0.3"/>
  <cols>
    <col min="1" max="1" width="40.6640625" style="171" customWidth="1"/>
    <col min="2" max="2" width="24.109375" style="263" customWidth="1"/>
    <col min="3" max="3" width="24.109375" style="206" customWidth="1"/>
    <col min="4" max="4" width="19.109375" style="230" hidden="1" customWidth="1"/>
    <col min="5" max="5" width="16.5546875" style="190" hidden="1" customWidth="1"/>
    <col min="6" max="6" width="16.5546875" style="190" customWidth="1"/>
    <col min="7" max="7" width="23.109375" style="190" hidden="1" customWidth="1"/>
    <col min="8" max="8" width="17.5546875" style="190" hidden="1" customWidth="1"/>
    <col min="9" max="9" width="19" style="190" customWidth="1"/>
    <col min="10" max="10" width="18.88671875" style="256" customWidth="1"/>
    <col min="11" max="11" width="17.33203125" style="190" hidden="1" customWidth="1"/>
    <col min="12" max="12" width="18" style="206" customWidth="1"/>
    <col min="13" max="13" width="14.33203125" style="209" customWidth="1"/>
    <col min="14" max="14" width="14.33203125" style="206" customWidth="1"/>
    <col min="15" max="15" width="17.109375" style="206" hidden="1" customWidth="1"/>
    <col min="16" max="16384" width="8.6640625" style="190"/>
  </cols>
  <sheetData>
    <row r="1" spans="1:15" x14ac:dyDescent="0.3">
      <c r="A1" s="239" t="s">
        <v>262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382" t="s">
        <v>37</v>
      </c>
      <c r="M1" s="383" t="s">
        <v>224</v>
      </c>
      <c r="N1" s="382" t="s">
        <v>39</v>
      </c>
      <c r="O1" s="232" t="s">
        <v>78</v>
      </c>
    </row>
    <row r="2" spans="1:15" x14ac:dyDescent="0.3">
      <c r="A2" s="245" t="s">
        <v>30</v>
      </c>
      <c r="B2" s="245" t="s">
        <v>1</v>
      </c>
      <c r="C2" s="170"/>
      <c r="D2" s="245" t="s">
        <v>31</v>
      </c>
      <c r="E2" s="245"/>
      <c r="F2" s="245"/>
      <c r="G2" s="245"/>
      <c r="H2" s="245"/>
      <c r="I2" s="245"/>
      <c r="J2" s="245"/>
      <c r="K2" s="170"/>
      <c r="L2" s="382"/>
      <c r="M2" s="383"/>
      <c r="N2" s="382"/>
      <c r="O2" s="232"/>
    </row>
    <row r="3" spans="1:15" x14ac:dyDescent="0.3">
      <c r="A3" s="245"/>
      <c r="B3" s="245"/>
      <c r="C3" s="170" t="s">
        <v>279</v>
      </c>
      <c r="D3" s="228" t="s">
        <v>279</v>
      </c>
      <c r="E3" s="170" t="s">
        <v>280</v>
      </c>
      <c r="F3" s="170" t="s">
        <v>285</v>
      </c>
      <c r="G3" s="170" t="s">
        <v>281</v>
      </c>
      <c r="H3" s="170" t="s">
        <v>282</v>
      </c>
      <c r="I3" s="170" t="s">
        <v>34</v>
      </c>
      <c r="J3" s="254" t="s">
        <v>35</v>
      </c>
      <c r="K3" s="170" t="s">
        <v>264</v>
      </c>
      <c r="L3" s="382"/>
      <c r="M3" s="383"/>
      <c r="N3" s="382"/>
      <c r="O3" s="232"/>
    </row>
    <row r="4" spans="1:15" x14ac:dyDescent="0.3">
      <c r="A4" s="216" t="s">
        <v>15</v>
      </c>
      <c r="B4" s="215" t="s">
        <v>5</v>
      </c>
      <c r="C4" s="246">
        <f>D4+E4</f>
        <v>157089.60999999999</v>
      </c>
      <c r="D4" s="224">
        <f>32292.49+123430.54</f>
        <v>155723.03</v>
      </c>
      <c r="E4" s="217">
        <f>236.96+1129.62</f>
        <v>1366.58</v>
      </c>
      <c r="F4" s="217">
        <f>G4+H4</f>
        <v>83122.789999999994</v>
      </c>
      <c r="G4" s="217">
        <f>14635.95</f>
        <v>14635.95</v>
      </c>
      <c r="H4" s="217">
        <f>68486.84</f>
        <v>68486.84</v>
      </c>
      <c r="I4" s="217"/>
      <c r="J4" s="384">
        <f>SUM(C4+F4+I4)</f>
        <v>240212.39999999997</v>
      </c>
      <c r="K4" s="385"/>
      <c r="L4" s="172">
        <f>J4*15%</f>
        <v>36031.859999999993</v>
      </c>
      <c r="M4" s="192">
        <v>0.15</v>
      </c>
      <c r="N4" s="223" t="s">
        <v>278</v>
      </c>
      <c r="O4" s="193"/>
    </row>
    <row r="5" spans="1:15" x14ac:dyDescent="0.3">
      <c r="A5" s="216" t="s">
        <v>3</v>
      </c>
      <c r="B5" s="215" t="s">
        <v>4</v>
      </c>
      <c r="C5" s="246">
        <f t="shared" ref="C5:C29" si="0">D5+E5</f>
        <v>34081.99</v>
      </c>
      <c r="D5" s="224">
        <f>26754.66+7267.82</f>
        <v>34022.479999999996</v>
      </c>
      <c r="E5" s="217">
        <f>10.95+48.56</f>
        <v>59.510000000000005</v>
      </c>
      <c r="F5" s="217">
        <f t="shared" ref="F5:F29" si="1">G5+H5</f>
        <v>8485.380000000001</v>
      </c>
      <c r="G5" s="217">
        <f>1513.61</f>
        <v>1513.61</v>
      </c>
      <c r="H5" s="217">
        <f>6971.77</f>
        <v>6971.77</v>
      </c>
      <c r="I5" s="217"/>
      <c r="J5" s="384">
        <f t="shared" ref="J5:J29" si="2">SUM(C5+F5+I5)</f>
        <v>42567.369999999995</v>
      </c>
      <c r="K5" s="385" t="s">
        <v>178</v>
      </c>
      <c r="L5" s="172">
        <f>J5*12.5%</f>
        <v>5320.9212499999994</v>
      </c>
      <c r="M5" s="196">
        <v>0.125</v>
      </c>
      <c r="N5" s="223" t="s">
        <v>278</v>
      </c>
      <c r="O5" s="193"/>
    </row>
    <row r="6" spans="1:15" x14ac:dyDescent="0.3">
      <c r="A6" s="216" t="s">
        <v>40</v>
      </c>
      <c r="B6" s="215" t="s">
        <v>47</v>
      </c>
      <c r="C6" s="246">
        <f t="shared" si="0"/>
        <v>41764.310000000005</v>
      </c>
      <c r="D6" s="224">
        <f>32969+8637.52</f>
        <v>41606.520000000004</v>
      </c>
      <c r="E6" s="217">
        <f>157.79</f>
        <v>157.79</v>
      </c>
      <c r="F6" s="217">
        <f t="shared" si="1"/>
        <v>0</v>
      </c>
      <c r="G6" s="217"/>
      <c r="H6" s="217"/>
      <c r="I6" s="388"/>
      <c r="J6" s="384">
        <f t="shared" si="2"/>
        <v>41764.310000000005</v>
      </c>
      <c r="K6" s="385" t="s">
        <v>258</v>
      </c>
      <c r="L6" s="172">
        <f>J6*12.5%</f>
        <v>5220.5387500000006</v>
      </c>
      <c r="M6" s="196">
        <v>0.125</v>
      </c>
      <c r="N6" s="223" t="s">
        <v>278</v>
      </c>
      <c r="O6" s="193"/>
    </row>
    <row r="7" spans="1:15" x14ac:dyDescent="0.3">
      <c r="A7" s="216" t="s">
        <v>49</v>
      </c>
      <c r="B7" s="215" t="s">
        <v>42</v>
      </c>
      <c r="C7" s="246">
        <f t="shared" si="0"/>
        <v>103897.74999999999</v>
      </c>
      <c r="D7" s="224">
        <f>82947.12+20673.84</f>
        <v>103620.95999999999</v>
      </c>
      <c r="E7" s="217">
        <f>28.3+248.49</f>
        <v>276.79000000000002</v>
      </c>
      <c r="F7" s="217">
        <f t="shared" si="1"/>
        <v>35097.300000000003</v>
      </c>
      <c r="G7" s="217">
        <f>6071.46</f>
        <v>6071.46</v>
      </c>
      <c r="H7" s="217">
        <f>29025.84</f>
        <v>29025.84</v>
      </c>
      <c r="I7" s="217"/>
      <c r="J7" s="384">
        <f t="shared" si="2"/>
        <v>138995.04999999999</v>
      </c>
      <c r="K7" s="385"/>
      <c r="L7" s="172">
        <f>J7*12.5%</f>
        <v>17374.381249999999</v>
      </c>
      <c r="M7" s="196">
        <v>0.125</v>
      </c>
      <c r="N7" s="223" t="s">
        <v>278</v>
      </c>
      <c r="O7" s="193"/>
    </row>
    <row r="8" spans="1:15" x14ac:dyDescent="0.3">
      <c r="A8" s="218" t="s">
        <v>53</v>
      </c>
      <c r="B8" s="215" t="s">
        <v>6</v>
      </c>
      <c r="C8" s="246">
        <f t="shared" si="0"/>
        <v>99303.540000000008</v>
      </c>
      <c r="D8" s="224">
        <f>79400.13+19559.09</f>
        <v>98959.22</v>
      </c>
      <c r="E8" s="217">
        <f>31+313.32</f>
        <v>344.32</v>
      </c>
      <c r="F8" s="217">
        <f t="shared" si="1"/>
        <v>90022.03</v>
      </c>
      <c r="G8" s="217">
        <f>16056.33</f>
        <v>16056.33</v>
      </c>
      <c r="H8" s="217">
        <f>73965.7</f>
        <v>73965.7</v>
      </c>
      <c r="I8" s="217"/>
      <c r="J8" s="384">
        <f t="shared" si="2"/>
        <v>189325.57</v>
      </c>
      <c r="K8" s="385"/>
      <c r="L8" s="172">
        <f>J8*15%</f>
        <v>28398.835500000001</v>
      </c>
      <c r="M8" s="192">
        <v>0.15</v>
      </c>
      <c r="N8" s="223" t="s">
        <v>278</v>
      </c>
      <c r="O8" s="193"/>
    </row>
    <row r="9" spans="1:15" x14ac:dyDescent="0.3">
      <c r="A9" s="216" t="s">
        <v>74</v>
      </c>
      <c r="B9" s="215" t="s">
        <v>75</v>
      </c>
      <c r="C9" s="246">
        <f t="shared" si="0"/>
        <v>63748.97</v>
      </c>
      <c r="D9" s="224">
        <f>50625.04+12949.56</f>
        <v>63574.6</v>
      </c>
      <c r="E9" s="217">
        <f>23.74+150.63</f>
        <v>174.37</v>
      </c>
      <c r="F9" s="217">
        <f t="shared" si="1"/>
        <v>17373.11</v>
      </c>
      <c r="G9" s="217">
        <f>3078.48</f>
        <v>3078.48</v>
      </c>
      <c r="H9" s="217">
        <f>14294.63</f>
        <v>14294.63</v>
      </c>
      <c r="I9" s="217"/>
      <c r="J9" s="384">
        <f t="shared" si="2"/>
        <v>81122.080000000002</v>
      </c>
      <c r="K9" s="385" t="s">
        <v>178</v>
      </c>
      <c r="L9" s="172">
        <f>J9*20%</f>
        <v>16224.416000000001</v>
      </c>
      <c r="M9" s="196">
        <v>0.2</v>
      </c>
      <c r="N9" s="223" t="s">
        <v>278</v>
      </c>
      <c r="O9" s="193"/>
    </row>
    <row r="10" spans="1:15" ht="15" customHeight="1" x14ac:dyDescent="0.3">
      <c r="A10" s="216" t="s">
        <v>77</v>
      </c>
      <c r="B10" s="215" t="s">
        <v>76</v>
      </c>
      <c r="C10" s="246">
        <f t="shared" si="0"/>
        <v>26101.360000000001</v>
      </c>
      <c r="D10" s="224">
        <f>20525.15+5382.44</f>
        <v>25907.59</v>
      </c>
      <c r="E10" s="217">
        <f>193.77</f>
        <v>193.77</v>
      </c>
      <c r="F10" s="217">
        <f t="shared" si="1"/>
        <v>0</v>
      </c>
      <c r="G10" s="217"/>
      <c r="H10" s="217"/>
      <c r="I10" s="217"/>
      <c r="J10" s="384">
        <f t="shared" si="2"/>
        <v>26101.360000000001</v>
      </c>
      <c r="K10" s="385" t="s">
        <v>178</v>
      </c>
      <c r="L10" s="172">
        <f>J10*20%</f>
        <v>5220.2720000000008</v>
      </c>
      <c r="M10" s="196">
        <v>0.2</v>
      </c>
      <c r="N10" s="223" t="s">
        <v>278</v>
      </c>
      <c r="O10" s="193"/>
    </row>
    <row r="11" spans="1:15" ht="15" customHeight="1" x14ac:dyDescent="0.3">
      <c r="A11" s="216" t="s">
        <v>287</v>
      </c>
      <c r="B11" s="215" t="s">
        <v>60</v>
      </c>
      <c r="C11" s="246"/>
      <c r="D11" s="224"/>
      <c r="E11" s="217"/>
      <c r="F11" s="217"/>
      <c r="G11" s="217"/>
      <c r="H11" s="217"/>
      <c r="I11" s="217"/>
      <c r="J11" s="384"/>
      <c r="K11" s="385"/>
      <c r="L11" s="172"/>
      <c r="M11" s="196">
        <v>0</v>
      </c>
      <c r="N11" s="223" t="s">
        <v>278</v>
      </c>
      <c r="O11" s="193"/>
    </row>
    <row r="12" spans="1:15" x14ac:dyDescent="0.3">
      <c r="A12" s="216" t="s">
        <v>79</v>
      </c>
      <c r="B12" s="215" t="s">
        <v>84</v>
      </c>
      <c r="C12" s="246">
        <f t="shared" si="0"/>
        <v>27950.5</v>
      </c>
      <c r="D12" s="224">
        <f>22301.56+5570.75</f>
        <v>27872.31</v>
      </c>
      <c r="E12" s="217">
        <f>78.19</f>
        <v>78.19</v>
      </c>
      <c r="F12" s="217">
        <f t="shared" si="1"/>
        <v>16529.89</v>
      </c>
      <c r="G12" s="217">
        <f>2943.29</f>
        <v>2943.29</v>
      </c>
      <c r="H12" s="389">
        <f>13586.6</f>
        <v>13586.6</v>
      </c>
      <c r="I12" s="217"/>
      <c r="J12" s="384">
        <f t="shared" si="2"/>
        <v>44480.39</v>
      </c>
      <c r="K12" s="385" t="s">
        <v>178</v>
      </c>
      <c r="L12" s="172">
        <f>J12*15%</f>
        <v>6672.0585000000001</v>
      </c>
      <c r="M12" s="196">
        <v>0.15</v>
      </c>
      <c r="N12" s="223" t="s">
        <v>278</v>
      </c>
      <c r="O12" s="199"/>
    </row>
    <row r="13" spans="1:15" x14ac:dyDescent="0.3">
      <c r="A13" s="216" t="s">
        <v>80</v>
      </c>
      <c r="B13" s="215" t="s">
        <v>85</v>
      </c>
      <c r="C13" s="246">
        <f t="shared" si="0"/>
        <v>119113.18999999999</v>
      </c>
      <c r="D13" s="224">
        <f>88542.62+23893.4</f>
        <v>112436.01999999999</v>
      </c>
      <c r="E13" s="217">
        <f>6457.84+219.33</f>
        <v>6677.17</v>
      </c>
      <c r="F13" s="217">
        <f t="shared" si="1"/>
        <v>122103.15</v>
      </c>
      <c r="G13" s="217">
        <f>8457.39+13017.84</f>
        <v>21475.23</v>
      </c>
      <c r="H13" s="217">
        <f>40055+60572.92</f>
        <v>100627.92</v>
      </c>
      <c r="I13" s="217"/>
      <c r="J13" s="384">
        <f t="shared" si="2"/>
        <v>241216.33999999997</v>
      </c>
      <c r="K13" s="385" t="s">
        <v>265</v>
      </c>
      <c r="L13" s="386">
        <f>J13*15%</f>
        <v>36182.450999999994</v>
      </c>
      <c r="M13" s="192">
        <v>0.15</v>
      </c>
      <c r="N13" s="223" t="s">
        <v>278</v>
      </c>
      <c r="O13" s="199"/>
    </row>
    <row r="14" spans="1:15" x14ac:dyDescent="0.3">
      <c r="A14" s="216" t="s">
        <v>82</v>
      </c>
      <c r="B14" s="215" t="s">
        <v>86</v>
      </c>
      <c r="C14" s="246">
        <f t="shared" si="0"/>
        <v>31888.57</v>
      </c>
      <c r="D14" s="224">
        <f>25623.37+6075.24</f>
        <v>31698.61</v>
      </c>
      <c r="E14" s="217">
        <f>43.87+146.09</f>
        <v>189.96</v>
      </c>
      <c r="F14" s="217">
        <f t="shared" si="1"/>
        <v>16054.94</v>
      </c>
      <c r="G14" s="217">
        <f>2863.83</f>
        <v>2863.83</v>
      </c>
      <c r="H14" s="217">
        <f>13191.11</f>
        <v>13191.11</v>
      </c>
      <c r="I14" s="217"/>
      <c r="J14" s="384">
        <f t="shared" si="2"/>
        <v>47943.51</v>
      </c>
      <c r="K14" s="385"/>
      <c r="L14" s="172">
        <f>J14*20%</f>
        <v>9588.7020000000011</v>
      </c>
      <c r="M14" s="196">
        <v>0.2</v>
      </c>
      <c r="N14" s="223" t="s">
        <v>278</v>
      </c>
      <c r="O14" s="199"/>
    </row>
    <row r="15" spans="1:15" x14ac:dyDescent="0.3">
      <c r="A15" s="216" t="s">
        <v>83</v>
      </c>
      <c r="B15" s="215" t="s">
        <v>87</v>
      </c>
      <c r="C15" s="246">
        <f t="shared" si="0"/>
        <v>2552.9499999999998</v>
      </c>
      <c r="D15" s="224">
        <f>670.38+1549.02+225.47</f>
        <v>2444.87</v>
      </c>
      <c r="E15" s="217">
        <f>108.08</f>
        <v>108.08</v>
      </c>
      <c r="F15" s="217">
        <f t="shared" si="1"/>
        <v>0</v>
      </c>
      <c r="G15" s="217"/>
      <c r="H15" s="217"/>
      <c r="I15" s="217"/>
      <c r="J15" s="384">
        <f t="shared" si="2"/>
        <v>2552.9499999999998</v>
      </c>
      <c r="K15" s="385" t="s">
        <v>265</v>
      </c>
      <c r="L15" s="386">
        <f>J15*20%</f>
        <v>510.59</v>
      </c>
      <c r="M15" s="196">
        <v>0.2</v>
      </c>
      <c r="N15" s="223" t="s">
        <v>278</v>
      </c>
      <c r="O15" s="199"/>
    </row>
    <row r="16" spans="1:15" ht="13.95" customHeight="1" x14ac:dyDescent="0.3">
      <c r="A16" s="216" t="s">
        <v>122</v>
      </c>
      <c r="B16" s="215" t="s">
        <v>123</v>
      </c>
      <c r="C16" s="246">
        <f t="shared" si="0"/>
        <v>38249.67</v>
      </c>
      <c r="D16" s="390">
        <f>38249.67</f>
        <v>38249.67</v>
      </c>
      <c r="E16" s="391"/>
      <c r="F16" s="217">
        <f t="shared" si="1"/>
        <v>54998.29</v>
      </c>
      <c r="G16" s="217">
        <f>9810.13</f>
        <v>9810.1299999999992</v>
      </c>
      <c r="H16" s="217">
        <f>45188.16</f>
        <v>45188.160000000003</v>
      </c>
      <c r="I16" s="389"/>
      <c r="J16" s="384">
        <f t="shared" si="2"/>
        <v>93247.959999999992</v>
      </c>
      <c r="K16" s="385" t="s">
        <v>178</v>
      </c>
      <c r="L16" s="386">
        <f>J16*20%</f>
        <v>18649.592000000001</v>
      </c>
      <c r="M16" s="196">
        <v>0.2</v>
      </c>
      <c r="N16" s="223" t="s">
        <v>278</v>
      </c>
      <c r="O16" s="199"/>
    </row>
    <row r="17" spans="1:31" customFormat="1" x14ac:dyDescent="0.3">
      <c r="A17" s="62" t="s">
        <v>52</v>
      </c>
      <c r="B17" s="262" t="s">
        <v>59</v>
      </c>
      <c r="C17" s="374"/>
      <c r="D17" s="374"/>
      <c r="E17" s="392"/>
      <c r="F17" s="392"/>
      <c r="G17" s="42"/>
      <c r="H17" s="393"/>
      <c r="I17" s="394"/>
      <c r="J17" s="384">
        <v>10</v>
      </c>
      <c r="K17" s="387" t="s">
        <v>257</v>
      </c>
      <c r="L17" s="395"/>
      <c r="M17" s="399">
        <v>0</v>
      </c>
      <c r="N17" s="223" t="s">
        <v>278</v>
      </c>
      <c r="O17" s="17">
        <f>'fluxo caixa jan 2026'!P17-'fluxo caixa mar 2026'!G17</f>
        <v>340788.8899999999</v>
      </c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</row>
    <row r="18" spans="1:31" x14ac:dyDescent="0.3">
      <c r="A18" s="216" t="s">
        <v>136</v>
      </c>
      <c r="B18" s="215" t="s">
        <v>137</v>
      </c>
      <c r="C18" s="246">
        <f t="shared" si="0"/>
        <v>129346.37</v>
      </c>
      <c r="D18" s="224">
        <f>101434.27+27521.54</f>
        <v>128955.81</v>
      </c>
      <c r="E18" s="217">
        <f>13.39+377.17</f>
        <v>390.56</v>
      </c>
      <c r="F18" s="217">
        <f t="shared" si="1"/>
        <v>67857.5</v>
      </c>
      <c r="G18" s="217">
        <f>11944.56</f>
        <v>11944.56</v>
      </c>
      <c r="H18" s="217">
        <f>55912.94</f>
        <v>55912.94</v>
      </c>
      <c r="I18" s="389"/>
      <c r="J18" s="384">
        <f t="shared" si="2"/>
        <v>197203.87</v>
      </c>
      <c r="K18" s="385" t="s">
        <v>178</v>
      </c>
      <c r="L18" s="386">
        <f>J18*15%</f>
        <v>29580.580499999996</v>
      </c>
      <c r="M18" s="192">
        <v>0.15</v>
      </c>
      <c r="N18" s="223" t="s">
        <v>278</v>
      </c>
      <c r="O18" s="199"/>
    </row>
    <row r="19" spans="1:31" x14ac:dyDescent="0.3">
      <c r="A19" s="216" t="s">
        <v>55</v>
      </c>
      <c r="B19" s="215" t="s">
        <v>62</v>
      </c>
      <c r="C19" s="246">
        <f t="shared" si="0"/>
        <v>4881.0499999999993</v>
      </c>
      <c r="D19" s="224">
        <f>2.36+16.87</f>
        <v>19.23</v>
      </c>
      <c r="E19" s="396">
        <v>4861.82</v>
      </c>
      <c r="F19" s="217">
        <f t="shared" si="1"/>
        <v>0</v>
      </c>
      <c r="G19" s="396"/>
      <c r="H19" s="389"/>
      <c r="I19" s="389"/>
      <c r="J19" s="384">
        <f t="shared" si="2"/>
        <v>4881.0499999999993</v>
      </c>
      <c r="K19" s="385"/>
      <c r="L19" s="386">
        <f t="shared" ref="L19:L24" si="3">J19*12.5%</f>
        <v>610.13124999999991</v>
      </c>
      <c r="M19" s="196">
        <v>0.125</v>
      </c>
      <c r="N19" s="223" t="s">
        <v>278</v>
      </c>
      <c r="O19" s="199"/>
    </row>
    <row r="20" spans="1:31" x14ac:dyDescent="0.3">
      <c r="A20" s="216" t="s">
        <v>135</v>
      </c>
      <c r="B20" s="215" t="s">
        <v>138</v>
      </c>
      <c r="C20" s="246">
        <f t="shared" si="0"/>
        <v>3840.5899999999997</v>
      </c>
      <c r="D20" s="227">
        <f>181.14+25.31</f>
        <v>206.45</v>
      </c>
      <c r="E20" s="227">
        <f>110.77+3523.37</f>
        <v>3634.14</v>
      </c>
      <c r="F20" s="217">
        <f t="shared" si="1"/>
        <v>67568.94</v>
      </c>
      <c r="G20" s="396">
        <f>11769.04</f>
        <v>11769.04</v>
      </c>
      <c r="H20" s="217">
        <f>55799.9</f>
        <v>55799.9</v>
      </c>
      <c r="I20" s="389"/>
      <c r="J20" s="384">
        <f t="shared" si="2"/>
        <v>71409.53</v>
      </c>
      <c r="K20" s="385"/>
      <c r="L20" s="386">
        <f t="shared" si="3"/>
        <v>8926.1912499999999</v>
      </c>
      <c r="M20" s="196">
        <v>0.125</v>
      </c>
      <c r="N20" s="223" t="s">
        <v>278</v>
      </c>
      <c r="O20" s="199"/>
    </row>
    <row r="21" spans="1:31" x14ac:dyDescent="0.3">
      <c r="A21" s="216" t="s">
        <v>54</v>
      </c>
      <c r="B21" s="215" t="s">
        <v>61</v>
      </c>
      <c r="C21" s="246">
        <f t="shared" si="0"/>
        <v>72.28</v>
      </c>
      <c r="D21" s="224">
        <f>41.68+5.83</f>
        <v>47.51</v>
      </c>
      <c r="E21" s="396">
        <f>24.77</f>
        <v>24.77</v>
      </c>
      <c r="F21" s="217">
        <f t="shared" si="1"/>
        <v>35880.99</v>
      </c>
      <c r="G21" s="396">
        <f>6313.88</f>
        <v>6313.88</v>
      </c>
      <c r="H21" s="217">
        <f>29567.11</f>
        <v>29567.11</v>
      </c>
      <c r="I21" s="389"/>
      <c r="J21" s="384">
        <f t="shared" si="2"/>
        <v>35953.269999999997</v>
      </c>
      <c r="K21" s="385"/>
      <c r="L21" s="386">
        <f t="shared" si="3"/>
        <v>4494.1587499999996</v>
      </c>
      <c r="M21" s="196">
        <v>0.125</v>
      </c>
      <c r="N21" s="223" t="s">
        <v>278</v>
      </c>
      <c r="O21" s="199"/>
    </row>
    <row r="22" spans="1:31" x14ac:dyDescent="0.3">
      <c r="A22" s="216" t="s">
        <v>58</v>
      </c>
      <c r="B22" s="215" t="s">
        <v>65</v>
      </c>
      <c r="C22" s="246">
        <f t="shared" si="0"/>
        <v>220.62</v>
      </c>
      <c r="D22" s="224">
        <f>104.98+14.67</f>
        <v>119.65</v>
      </c>
      <c r="E22" s="396">
        <f>100.97</f>
        <v>100.97</v>
      </c>
      <c r="F22" s="217">
        <f t="shared" si="1"/>
        <v>0</v>
      </c>
      <c r="G22" s="396"/>
      <c r="H22" s="217"/>
      <c r="I22" s="389"/>
      <c r="J22" s="384">
        <f t="shared" si="2"/>
        <v>220.62</v>
      </c>
      <c r="K22" s="385"/>
      <c r="L22" s="386">
        <f t="shared" si="3"/>
        <v>27.577500000000001</v>
      </c>
      <c r="M22" s="196">
        <v>0.125</v>
      </c>
      <c r="N22" s="223" t="s">
        <v>278</v>
      </c>
      <c r="O22" s="199"/>
    </row>
    <row r="23" spans="1:31" x14ac:dyDescent="0.3">
      <c r="A23" s="216" t="s">
        <v>57</v>
      </c>
      <c r="B23" s="215" t="s">
        <v>64</v>
      </c>
      <c r="C23" s="246">
        <f t="shared" si="0"/>
        <v>857.21</v>
      </c>
      <c r="D23" s="224">
        <f>187.51+26.22</f>
        <v>213.73</v>
      </c>
      <c r="E23" s="396">
        <f>454.53+188.95</f>
        <v>643.48</v>
      </c>
      <c r="F23" s="217">
        <f t="shared" si="1"/>
        <v>0</v>
      </c>
      <c r="G23" s="396"/>
      <c r="H23" s="217"/>
      <c r="I23" s="389"/>
      <c r="J23" s="384">
        <f t="shared" si="2"/>
        <v>857.21</v>
      </c>
      <c r="K23" s="385"/>
      <c r="L23" s="386">
        <f t="shared" si="3"/>
        <v>107.15125</v>
      </c>
      <c r="M23" s="196">
        <v>0.125</v>
      </c>
      <c r="N23" s="223" t="s">
        <v>278</v>
      </c>
      <c r="O23" s="199"/>
    </row>
    <row r="24" spans="1:31" x14ac:dyDescent="0.3">
      <c r="A24" s="216" t="s">
        <v>56</v>
      </c>
      <c r="B24" s="215" t="s">
        <v>63</v>
      </c>
      <c r="C24" s="246">
        <f t="shared" si="0"/>
        <v>4372.29</v>
      </c>
      <c r="D24" s="224">
        <f>697.91+7.62</f>
        <v>705.53</v>
      </c>
      <c r="E24" s="396">
        <f>3564.98+101.78</f>
        <v>3666.76</v>
      </c>
      <c r="F24" s="217">
        <f t="shared" si="1"/>
        <v>0</v>
      </c>
      <c r="G24" s="396"/>
      <c r="H24" s="217"/>
      <c r="I24" s="389"/>
      <c r="J24" s="384">
        <f t="shared" si="2"/>
        <v>4372.29</v>
      </c>
      <c r="K24" s="385"/>
      <c r="L24" s="386">
        <f t="shared" si="3"/>
        <v>546.53625</v>
      </c>
      <c r="M24" s="196">
        <v>0.125</v>
      </c>
      <c r="N24" s="223" t="s">
        <v>278</v>
      </c>
      <c r="O24" s="199"/>
    </row>
    <row r="25" spans="1:31" x14ac:dyDescent="0.3">
      <c r="A25" s="216" t="s">
        <v>152</v>
      </c>
      <c r="B25" s="215" t="s">
        <v>153</v>
      </c>
      <c r="C25" s="246">
        <f t="shared" si="0"/>
        <v>20710.36</v>
      </c>
      <c r="D25" s="390">
        <v>20710.36</v>
      </c>
      <c r="E25" s="391"/>
      <c r="F25" s="217">
        <f t="shared" si="1"/>
        <v>0</v>
      </c>
      <c r="G25" s="217"/>
      <c r="H25" s="217"/>
      <c r="I25" s="389"/>
      <c r="J25" s="384">
        <f t="shared" si="2"/>
        <v>20710.36</v>
      </c>
      <c r="K25" s="385"/>
      <c r="L25" s="386">
        <f t="shared" ref="L25:L29" si="4">J25*20%</f>
        <v>4142.0720000000001</v>
      </c>
      <c r="M25" s="196">
        <v>0.2</v>
      </c>
      <c r="N25" s="223" t="s">
        <v>278</v>
      </c>
      <c r="O25" s="199"/>
    </row>
    <row r="26" spans="1:31" x14ac:dyDescent="0.3">
      <c r="A26" s="216" t="s">
        <v>157</v>
      </c>
      <c r="B26" s="215" t="s">
        <v>158</v>
      </c>
      <c r="C26" s="246">
        <f t="shared" si="0"/>
        <v>1698</v>
      </c>
      <c r="D26" s="390">
        <v>1698</v>
      </c>
      <c r="E26" s="391"/>
      <c r="F26" s="217">
        <f t="shared" si="1"/>
        <v>0</v>
      </c>
      <c r="G26" s="217"/>
      <c r="H26" s="217"/>
      <c r="I26" s="389"/>
      <c r="J26" s="384">
        <f t="shared" si="2"/>
        <v>1698</v>
      </c>
      <c r="K26" s="385"/>
      <c r="L26" s="386">
        <f t="shared" si="4"/>
        <v>339.6</v>
      </c>
      <c r="M26" s="196">
        <v>0.2</v>
      </c>
      <c r="N26" s="223" t="s">
        <v>278</v>
      </c>
      <c r="O26" s="199"/>
    </row>
    <row r="27" spans="1:31" x14ac:dyDescent="0.3">
      <c r="A27" s="216" t="s">
        <v>154</v>
      </c>
      <c r="B27" s="215" t="s">
        <v>155</v>
      </c>
      <c r="C27" s="246">
        <f t="shared" si="0"/>
        <v>8551.8799999999992</v>
      </c>
      <c r="D27" s="224">
        <v>8551.8799999999992</v>
      </c>
      <c r="E27" s="217"/>
      <c r="F27" s="217">
        <f t="shared" si="1"/>
        <v>0</v>
      </c>
      <c r="G27" s="217"/>
      <c r="H27" s="217"/>
      <c r="I27" s="389"/>
      <c r="J27" s="384">
        <f t="shared" si="2"/>
        <v>8551.8799999999992</v>
      </c>
      <c r="K27" s="385"/>
      <c r="L27" s="386">
        <f t="shared" si="4"/>
        <v>1710.376</v>
      </c>
      <c r="M27" s="196">
        <v>0.2</v>
      </c>
      <c r="N27" s="223" t="s">
        <v>278</v>
      </c>
      <c r="O27" s="199"/>
    </row>
    <row r="28" spans="1:31" x14ac:dyDescent="0.3">
      <c r="A28" s="216" t="s">
        <v>236</v>
      </c>
      <c r="B28" s="215" t="s">
        <v>237</v>
      </c>
      <c r="C28" s="246">
        <f t="shared" si="0"/>
        <v>9453.67</v>
      </c>
      <c r="D28" s="224">
        <f>7283.26+1770.53</f>
        <v>9053.7900000000009</v>
      </c>
      <c r="E28" s="217">
        <f>82.06+317.82</f>
        <v>399.88</v>
      </c>
      <c r="F28" s="217">
        <f t="shared" si="1"/>
        <v>1001.64</v>
      </c>
      <c r="G28" s="217">
        <f>170.26</f>
        <v>170.26</v>
      </c>
      <c r="H28" s="217">
        <f>831.38</f>
        <v>831.38</v>
      </c>
      <c r="I28" s="389"/>
      <c r="J28" s="384">
        <f t="shared" si="2"/>
        <v>10455.31</v>
      </c>
      <c r="K28" s="385" t="s">
        <v>265</v>
      </c>
      <c r="L28" s="386">
        <f t="shared" si="4"/>
        <v>2091.0619999999999</v>
      </c>
      <c r="M28" s="196">
        <v>0.2</v>
      </c>
      <c r="N28" s="223" t="s">
        <v>278</v>
      </c>
      <c r="O28" s="199"/>
    </row>
    <row r="29" spans="1:31" x14ac:dyDescent="0.3">
      <c r="A29" s="216" t="s">
        <v>238</v>
      </c>
      <c r="B29" s="215" t="s">
        <v>239</v>
      </c>
      <c r="C29" s="246">
        <f t="shared" si="0"/>
        <v>6952.72</v>
      </c>
      <c r="D29" s="224">
        <f>5342.67+1285.45</f>
        <v>6628.12</v>
      </c>
      <c r="E29" s="217">
        <f>63.7+260.9</f>
        <v>324.59999999999997</v>
      </c>
      <c r="F29" s="217">
        <f t="shared" si="1"/>
        <v>3136.6899999999996</v>
      </c>
      <c r="G29" s="217">
        <f>551.03</f>
        <v>551.03</v>
      </c>
      <c r="H29" s="217">
        <f>2585.66</f>
        <v>2585.66</v>
      </c>
      <c r="I29" s="389"/>
      <c r="J29" s="384">
        <f t="shared" si="2"/>
        <v>10089.41</v>
      </c>
      <c r="K29" s="385" t="s">
        <v>178</v>
      </c>
      <c r="L29" s="386">
        <f t="shared" si="4"/>
        <v>2017.8820000000001</v>
      </c>
      <c r="M29" s="196">
        <v>0.2</v>
      </c>
      <c r="N29" s="223" t="s">
        <v>278</v>
      </c>
      <c r="O29" s="199"/>
    </row>
    <row r="30" spans="1:31" s="110" customFormat="1" x14ac:dyDescent="0.3">
      <c r="A30" s="216" t="s">
        <v>248</v>
      </c>
      <c r="B30" s="215" t="s">
        <v>251</v>
      </c>
      <c r="C30" s="246">
        <f>D30+E30</f>
        <v>0</v>
      </c>
      <c r="D30" s="226"/>
      <c r="E30" s="217"/>
      <c r="F30" s="217">
        <f>G30+H30</f>
        <v>0</v>
      </c>
      <c r="G30" s="217"/>
      <c r="H30" s="217"/>
      <c r="I30" s="217"/>
      <c r="J30" s="384">
        <f>SUM(C30+F30+I30)</f>
        <v>0</v>
      </c>
      <c r="K30" s="385"/>
      <c r="L30" s="386">
        <f>J30*10%/4</f>
        <v>0</v>
      </c>
      <c r="M30" s="196">
        <v>0</v>
      </c>
      <c r="N30" s="223" t="s">
        <v>278</v>
      </c>
      <c r="O30" s="169"/>
    </row>
    <row r="31" spans="1:31" s="110" customFormat="1" x14ac:dyDescent="0.3">
      <c r="A31" s="216" t="s">
        <v>249</v>
      </c>
      <c r="B31" s="215" t="s">
        <v>250</v>
      </c>
      <c r="C31" s="246">
        <f>D31+E31</f>
        <v>0</v>
      </c>
      <c r="D31" s="226"/>
      <c r="E31" s="217"/>
      <c r="F31" s="217">
        <f>G31+H31</f>
        <v>0</v>
      </c>
      <c r="G31" s="217"/>
      <c r="H31" s="217"/>
      <c r="I31" s="217"/>
      <c r="J31" s="384">
        <f>SUM(C31+F31+I31)</f>
        <v>0</v>
      </c>
      <c r="K31" s="385"/>
      <c r="L31" s="386">
        <f t="shared" ref="L31" si="5">J31*10%/4</f>
        <v>0</v>
      </c>
      <c r="M31" s="196">
        <v>0</v>
      </c>
      <c r="N31" s="223" t="s">
        <v>278</v>
      </c>
      <c r="O31" s="169"/>
    </row>
    <row r="32" spans="1:31" x14ac:dyDescent="0.3">
      <c r="A32" s="216" t="s">
        <v>253</v>
      </c>
      <c r="B32" s="219" t="s">
        <v>259</v>
      </c>
      <c r="C32" s="246">
        <f>D32+E32</f>
        <v>18476.46</v>
      </c>
      <c r="D32" s="225">
        <f>16768.28+1708.18</f>
        <v>18476.46</v>
      </c>
      <c r="E32" s="217"/>
      <c r="F32" s="217">
        <f>G32+H32</f>
        <v>12203.83</v>
      </c>
      <c r="G32" s="217">
        <f>2175.41</f>
        <v>2175.41</v>
      </c>
      <c r="H32" s="217">
        <f>10028.42</f>
        <v>10028.42</v>
      </c>
      <c r="I32" s="389"/>
      <c r="J32" s="384">
        <f>SUM(C32+F32+I32)</f>
        <v>30680.29</v>
      </c>
      <c r="K32" s="385"/>
      <c r="L32" s="386">
        <f>J32*25%</f>
        <v>7670.0725000000002</v>
      </c>
      <c r="M32" s="196">
        <v>0.25</v>
      </c>
      <c r="N32" s="223" t="s">
        <v>278</v>
      </c>
      <c r="O32" s="199"/>
    </row>
    <row r="33" spans="1:15" ht="13.95" customHeight="1" x14ac:dyDescent="0.3">
      <c r="A33" s="216" t="s">
        <v>255</v>
      </c>
      <c r="B33" s="219" t="s">
        <v>263</v>
      </c>
      <c r="C33" s="246">
        <f>D33+E33</f>
        <v>874207.13000000012</v>
      </c>
      <c r="D33" s="225">
        <f>183426.48+524278.06+140353.79</f>
        <v>848058.33000000007</v>
      </c>
      <c r="E33" s="217">
        <f>19903.21+6245.59</f>
        <v>26148.799999999999</v>
      </c>
      <c r="F33" s="217">
        <f>G33+H33</f>
        <v>74400.19</v>
      </c>
      <c r="G33" s="217">
        <f>13271.38</f>
        <v>13271.38</v>
      </c>
      <c r="H33" s="217">
        <f>61128.81</f>
        <v>61128.81</v>
      </c>
      <c r="I33" s="389"/>
      <c r="J33" s="384">
        <f>SUM(C33+F33+I33)</f>
        <v>948607.32000000007</v>
      </c>
      <c r="K33" s="385"/>
      <c r="L33" s="386">
        <f>J33*10%</f>
        <v>94860.732000000018</v>
      </c>
      <c r="M33" s="196">
        <v>0.1</v>
      </c>
      <c r="N33" s="223" t="s">
        <v>278</v>
      </c>
      <c r="O33" s="199"/>
    </row>
    <row r="34" spans="1:15" s="110" customFormat="1" x14ac:dyDescent="0.3">
      <c r="A34" s="214" t="s">
        <v>272</v>
      </c>
      <c r="B34" s="219" t="s">
        <v>274</v>
      </c>
      <c r="C34" s="246">
        <f>D34+E34</f>
        <v>0</v>
      </c>
      <c r="D34" s="229"/>
      <c r="E34" s="217"/>
      <c r="F34" s="217">
        <f>G34+H34</f>
        <v>0</v>
      </c>
      <c r="G34" s="217"/>
      <c r="H34" s="217"/>
      <c r="I34" s="217"/>
      <c r="J34" s="384">
        <f>SUM(C34+F34+I34)</f>
        <v>0</v>
      </c>
      <c r="K34" s="385"/>
      <c r="L34" s="386">
        <f>'fluxo caixa abr 2026 '!H34</f>
        <v>47358.456750000005</v>
      </c>
      <c r="M34" s="196">
        <v>0</v>
      </c>
      <c r="N34" s="223" t="s">
        <v>278</v>
      </c>
      <c r="O34" s="169"/>
    </row>
    <row r="35" spans="1:15" s="110" customFormat="1" x14ac:dyDescent="0.3">
      <c r="A35" s="220" t="s">
        <v>260</v>
      </c>
      <c r="B35" s="219" t="s">
        <v>261</v>
      </c>
      <c r="C35" s="246">
        <f>D35+E35</f>
        <v>91002.84</v>
      </c>
      <c r="D35" s="225">
        <f>71379.11+19623.73</f>
        <v>91002.84</v>
      </c>
      <c r="E35" s="217"/>
      <c r="F35" s="217">
        <f>G35+H35</f>
        <v>16221.630000000001</v>
      </c>
      <c r="G35" s="217">
        <f>2888.79</f>
        <v>2888.79</v>
      </c>
      <c r="H35" s="217">
        <f>13332.84</f>
        <v>13332.84</v>
      </c>
      <c r="I35" s="217"/>
      <c r="J35" s="384">
        <f>SUM(C35+F35+I35)</f>
        <v>107224.47</v>
      </c>
      <c r="K35" s="385"/>
      <c r="L35" s="386">
        <f>J35*20%</f>
        <v>21444.894</v>
      </c>
      <c r="M35" s="196">
        <v>0.1</v>
      </c>
      <c r="N35" s="223" t="s">
        <v>278</v>
      </c>
      <c r="O35" s="169"/>
    </row>
    <row r="36" spans="1:15" x14ac:dyDescent="0.3">
      <c r="A36" s="221" t="s">
        <v>273</v>
      </c>
      <c r="B36" s="213" t="s">
        <v>277</v>
      </c>
      <c r="C36" s="246">
        <f>D36+E36</f>
        <v>586.38</v>
      </c>
      <c r="D36" s="225">
        <f>586.38</f>
        <v>586.38</v>
      </c>
      <c r="E36" s="373"/>
      <c r="F36" s="217">
        <f>G36+H36</f>
        <v>0</v>
      </c>
      <c r="G36" s="373"/>
      <c r="H36" s="373"/>
      <c r="I36" s="246"/>
      <c r="J36" s="384">
        <f>SUM(C36+F36+I36)</f>
        <v>586.38</v>
      </c>
      <c r="K36" s="385" t="e">
        <f>E36+H36+#REF!+I36</f>
        <v>#REF!</v>
      </c>
      <c r="L36" s="397">
        <f>J36*20%</f>
        <v>117.27600000000001</v>
      </c>
      <c r="M36" s="357">
        <v>0.2</v>
      </c>
      <c r="N36" s="223" t="s">
        <v>278</v>
      </c>
      <c r="O36" s="204"/>
    </row>
    <row r="37" spans="1:15" s="110" customFormat="1" x14ac:dyDescent="0.3">
      <c r="A37" s="221" t="s">
        <v>283</v>
      </c>
      <c r="B37" s="213" t="s">
        <v>284</v>
      </c>
      <c r="C37" s="246">
        <f>D37+E37</f>
        <v>15422.96</v>
      </c>
      <c r="D37" s="381">
        <f>3697.97+9492.8+2220.11</f>
        <v>15410.88</v>
      </c>
      <c r="E37" s="398">
        <f>12.08</f>
        <v>12.08</v>
      </c>
      <c r="F37" s="217">
        <f>G37+H37</f>
        <v>0</v>
      </c>
      <c r="G37" s="217"/>
      <c r="H37" s="217"/>
      <c r="I37" s="217"/>
      <c r="J37" s="384">
        <f>SUM(C37+F37+I37)</f>
        <v>15422.96</v>
      </c>
      <c r="K37" s="385"/>
      <c r="L37" s="397">
        <f>J37*20%</f>
        <v>3084.5920000000001</v>
      </c>
      <c r="M37" s="196">
        <v>0.2</v>
      </c>
      <c r="N37" s="223" t="s">
        <v>278</v>
      </c>
      <c r="O37" s="169"/>
    </row>
    <row r="38" spans="1:15" s="110" customFormat="1" x14ac:dyDescent="0.3">
      <c r="A38" s="220" t="s">
        <v>270</v>
      </c>
      <c r="B38" s="219" t="s">
        <v>275</v>
      </c>
      <c r="C38" s="246">
        <f>D38+E38</f>
        <v>0</v>
      </c>
      <c r="D38" s="225"/>
      <c r="E38" s="217"/>
      <c r="F38" s="217">
        <f>G38+H38</f>
        <v>0</v>
      </c>
      <c r="G38" s="217"/>
      <c r="H38" s="217"/>
      <c r="I38" s="217"/>
      <c r="J38" s="384">
        <f>SUM(C38+F38+I38)</f>
        <v>0</v>
      </c>
      <c r="K38" s="385"/>
      <c r="L38" s="386">
        <f t="shared" ref="L38:L39" si="6">J38*10%/4</f>
        <v>0</v>
      </c>
      <c r="M38" s="196">
        <v>0</v>
      </c>
      <c r="N38" s="223" t="s">
        <v>278</v>
      </c>
      <c r="O38" s="169"/>
    </row>
    <row r="39" spans="1:15" s="110" customFormat="1" x14ac:dyDescent="0.3">
      <c r="A39" s="220" t="s">
        <v>271</v>
      </c>
      <c r="B39" s="219" t="s">
        <v>276</v>
      </c>
      <c r="C39" s="246">
        <f>D39+E39</f>
        <v>0</v>
      </c>
      <c r="D39" s="229"/>
      <c r="E39" s="217"/>
      <c r="F39" s="217">
        <f>G39+H39</f>
        <v>0</v>
      </c>
      <c r="G39" s="217"/>
      <c r="H39" s="217"/>
      <c r="I39" s="217"/>
      <c r="J39" s="384">
        <f>SUM(C39+F39+I39)</f>
        <v>0</v>
      </c>
      <c r="K39" s="385"/>
      <c r="L39" s="386">
        <f t="shared" si="6"/>
        <v>0</v>
      </c>
      <c r="M39" s="196">
        <v>0</v>
      </c>
      <c r="N39" s="223" t="s">
        <v>278</v>
      </c>
      <c r="O39" s="169"/>
    </row>
    <row r="40" spans="1:15" x14ac:dyDescent="0.3">
      <c r="A40" s="309" t="s">
        <v>35</v>
      </c>
      <c r="B40" s="309"/>
      <c r="C40" s="400">
        <f>SUM(C4:C39)</f>
        <v>1936395.22</v>
      </c>
      <c r="D40" s="400">
        <f t="shared" ref="D40:L40" si="7">SUM(D4:D39)</f>
        <v>1886560.8299999998</v>
      </c>
      <c r="E40" s="400">
        <f t="shared" si="7"/>
        <v>49834.39</v>
      </c>
      <c r="F40" s="400">
        <f t="shared" si="7"/>
        <v>722058.28999999992</v>
      </c>
      <c r="G40" s="400">
        <f t="shared" si="7"/>
        <v>127532.66</v>
      </c>
      <c r="H40" s="400">
        <f t="shared" si="7"/>
        <v>594525.62999999989</v>
      </c>
      <c r="I40" s="400">
        <f t="shared" si="7"/>
        <v>0</v>
      </c>
      <c r="J40" s="400">
        <f t="shared" si="7"/>
        <v>2658463.5100000002</v>
      </c>
      <c r="K40" s="400" t="e">
        <f t="shared" si="7"/>
        <v>#REF!</v>
      </c>
      <c r="L40" s="400">
        <f t="shared" si="7"/>
        <v>414523.96025</v>
      </c>
    </row>
    <row r="43" spans="1:15" ht="20.399999999999999" customHeight="1" x14ac:dyDescent="0.3"/>
    <row r="44" spans="1:15" x14ac:dyDescent="0.3">
      <c r="H44" s="197"/>
      <c r="L44" s="208"/>
    </row>
    <row r="45" spans="1:15" x14ac:dyDescent="0.3">
      <c r="H45" s="197"/>
      <c r="L45" s="208"/>
    </row>
    <row r="46" spans="1:15" x14ac:dyDescent="0.3">
      <c r="H46" s="197"/>
      <c r="L46" s="208"/>
    </row>
    <row r="47" spans="1:15" x14ac:dyDescent="0.3">
      <c r="L47" s="208"/>
    </row>
    <row r="48" spans="1:15" x14ac:dyDescent="0.3">
      <c r="L48" s="208"/>
    </row>
  </sheetData>
  <autoFilter ref="A3:O43" xr:uid="{18F708FB-09B6-48DA-AC7A-6AEBBD6ED7CA}"/>
  <mergeCells count="9">
    <mergeCell ref="A2:A3"/>
    <mergeCell ref="B2:B3"/>
    <mergeCell ref="A1:K1"/>
    <mergeCell ref="L1:L3"/>
    <mergeCell ref="M1:M3"/>
    <mergeCell ref="N1:N3"/>
    <mergeCell ref="O1:O3"/>
    <mergeCell ref="D2:J2"/>
    <mergeCell ref="A40:B40"/>
  </mergeCells>
  <conditionalFormatting sqref="H17">
    <cfRule type="containsText" dxfId="1" priority="1" operator="containsText" text="PAGO">
      <formula>NOT(ISERROR(SEARCH("PAGO",H17)))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C907-13D3-48F6-9328-2074FAAB9AE8}">
  <dimension ref="A2:D37"/>
  <sheetViews>
    <sheetView workbookViewId="0">
      <selection activeCell="B29" sqref="B29"/>
    </sheetView>
  </sheetViews>
  <sheetFormatPr defaultRowHeight="14.4" x14ac:dyDescent="0.3"/>
  <cols>
    <col min="1" max="1" width="41.109375" bestFit="1" customWidth="1"/>
    <col min="2" max="2" width="12.88671875" bestFit="1" customWidth="1"/>
    <col min="3" max="3" width="15.88671875" customWidth="1"/>
    <col min="4" max="4" width="10.33203125" bestFit="1" customWidth="1"/>
  </cols>
  <sheetData>
    <row r="2" spans="1:4" x14ac:dyDescent="0.3">
      <c r="A2" s="257" t="s">
        <v>15</v>
      </c>
      <c r="B2" s="258">
        <f>'fluxo caixa dez 2025'!G5+'fluxo caixa jan 2026'!G4+'fluxo caixa fev 2026'!G4+'fluxo caixa mar 2026'!G4+'fluxo caixa abr 2026 '!F4+'fluxo caixa maio 2026 '!J4</f>
        <v>2521099.0299999998</v>
      </c>
      <c r="C2" s="41">
        <f>B2-2407515.09</f>
        <v>113583.93999999994</v>
      </c>
    </row>
    <row r="3" spans="1:4" x14ac:dyDescent="0.3">
      <c r="A3" s="257" t="s">
        <v>3</v>
      </c>
      <c r="B3" s="258">
        <f>'fluxo caixa dez 2025'!G6+'fluxo caixa jan 2026'!G5+'fluxo caixa fev 2026'!G5+'fluxo caixa mar 2026'!G5+'fluxo caixa abr 2026 '!F5+'fluxo caixa maio 2026 '!J5</f>
        <v>336769.7</v>
      </c>
    </row>
    <row r="4" spans="1:4" x14ac:dyDescent="0.3">
      <c r="A4" s="216" t="s">
        <v>40</v>
      </c>
      <c r="B4" s="258">
        <f>'fluxo caixa dez 2025'!G7+'fluxo caixa jan 2026'!G6+'fluxo caixa fev 2026'!G6+'fluxo caixa mar 2026'!G6+'fluxo caixa abr 2026 '!F6+'fluxo caixa maio 2026 '!J6</f>
        <v>577816.20000000007</v>
      </c>
    </row>
    <row r="5" spans="1:4" x14ac:dyDescent="0.3">
      <c r="A5" s="257" t="s">
        <v>49</v>
      </c>
      <c r="B5" s="258">
        <f>'fluxo caixa dez 2025'!G8+'fluxo caixa jan 2026'!G7+'fluxo caixa fev 2026'!G7+'fluxo caixa mar 2026'!G7+'fluxo caixa abr 2026 '!F7+'fluxo caixa maio 2026 '!J7</f>
        <v>879201.35000000009</v>
      </c>
    </row>
    <row r="6" spans="1:4" x14ac:dyDescent="0.3">
      <c r="A6" s="259" t="s">
        <v>53</v>
      </c>
      <c r="B6" s="258">
        <f>'fluxo caixa dez 2025'!G9+'fluxo caixa jan 2026'!G8+'fluxo caixa fev 2026'!G8+'fluxo caixa mar 2026'!G8+'fluxo caixa abr 2026 '!F8+'fluxo caixa maio 2026 '!J8</f>
        <v>1101805.98</v>
      </c>
    </row>
    <row r="7" spans="1:4" x14ac:dyDescent="0.3">
      <c r="A7" s="257" t="s">
        <v>74</v>
      </c>
      <c r="B7" s="258">
        <f>'fluxo caixa dez 2025'!G10+'fluxo caixa jan 2026'!G9+'fluxo caixa fev 2026'!G9+'fluxo caixa mar 2026'!G9+'fluxo caixa abr 2026 '!F9+'fluxo caixa maio 2026 '!J9</f>
        <v>510095.54</v>
      </c>
    </row>
    <row r="8" spans="1:4" x14ac:dyDescent="0.3">
      <c r="A8" s="257" t="s">
        <v>77</v>
      </c>
      <c r="B8" s="258">
        <f>'fluxo caixa dez 2025'!G11+'fluxo caixa jan 2026'!G10+'fluxo caixa fev 2026'!G10+'fluxo caixa mar 2026'!G10+'fluxo caixa abr 2026 '!F10+'fluxo caixa maio 2026 '!J10</f>
        <v>453134.13</v>
      </c>
    </row>
    <row r="9" spans="1:4" x14ac:dyDescent="0.3">
      <c r="A9" s="216" t="s">
        <v>287</v>
      </c>
      <c r="B9" s="258">
        <f>'fluxo caixa dez 2025'!G12+'fluxo caixa jan 2026'!G11+'fluxo caixa fev 2026'!G11+'fluxo caixa mar 2026'!G11+'fluxo caixa abr 2026 '!F11+'fluxo caixa maio 2026 '!J11</f>
        <v>0</v>
      </c>
    </row>
    <row r="10" spans="1:4" x14ac:dyDescent="0.3">
      <c r="A10" s="247" t="s">
        <v>79</v>
      </c>
      <c r="B10" s="258">
        <f>'fluxo caixa dez 2025'!G13+'fluxo caixa jan 2026'!G12+'fluxo caixa fev 2026'!G12+'fluxo caixa mar 2026'!G12+'fluxo caixa abr 2026 '!F12+'fluxo caixa maio 2026 '!J12</f>
        <v>237583.27000000002</v>
      </c>
      <c r="C10" s="401">
        <v>194480.39</v>
      </c>
      <c r="D10" s="41">
        <f>B10-C10</f>
        <v>43102.880000000005</v>
      </c>
    </row>
    <row r="11" spans="1:4" x14ac:dyDescent="0.3">
      <c r="A11" s="257" t="s">
        <v>80</v>
      </c>
      <c r="B11" s="258">
        <f>'fluxo caixa dez 2025'!G14+'fluxo caixa jan 2026'!G13+'fluxo caixa fev 2026'!G13+'fluxo caixa mar 2026'!G13+'fluxo caixa abr 2026 '!F13+'fluxo caixa maio 2026 '!J13</f>
        <v>1375393.1800000002</v>
      </c>
    </row>
    <row r="12" spans="1:4" x14ac:dyDescent="0.3">
      <c r="A12" s="257" t="s">
        <v>82</v>
      </c>
      <c r="B12" s="258">
        <f>'fluxo caixa dez 2025'!G15+'fluxo caixa jan 2026'!G14+'fluxo caixa fev 2026'!G14+'fluxo caixa mar 2026'!G14+'fluxo caixa abr 2026 '!F14+'fluxo caixa maio 2026 '!J14</f>
        <v>529837.02999999991</v>
      </c>
    </row>
    <row r="13" spans="1:4" x14ac:dyDescent="0.3">
      <c r="A13" s="257" t="s">
        <v>83</v>
      </c>
      <c r="B13" s="258">
        <f>'fluxo caixa dez 2025'!G16+'fluxo caixa jan 2026'!G15+'fluxo caixa fev 2026'!G15+'fluxo caixa mar 2026'!G15+'fluxo caixa abr 2026 '!F15+'fluxo caixa maio 2026 '!J15</f>
        <v>158879.07</v>
      </c>
    </row>
    <row r="14" spans="1:4" x14ac:dyDescent="0.3">
      <c r="A14" s="257" t="s">
        <v>122</v>
      </c>
      <c r="B14" s="258">
        <f>'fluxo caixa dez 2025'!G17+'fluxo caixa jan 2026'!G16+'fluxo caixa fev 2026'!G16+'fluxo caixa mar 2026'!G16+'fluxo caixa abr 2026 '!F16+'fluxo caixa maio 2026 '!J16</f>
        <v>1354509.16</v>
      </c>
    </row>
    <row r="15" spans="1:4" x14ac:dyDescent="0.3">
      <c r="A15" s="62" t="s">
        <v>52</v>
      </c>
      <c r="B15" s="258">
        <f>'fluxo caixa dez 2025'!G18+'fluxo caixa jan 2026'!G17+'fluxo caixa fev 2026'!G17+'fluxo caixa mar 2026'!G17+'fluxo caixa abr 2026 '!F17+'fluxo caixa maio 2026 '!J17</f>
        <v>1238471.48</v>
      </c>
    </row>
    <row r="16" spans="1:4" x14ac:dyDescent="0.3">
      <c r="A16" s="257" t="s">
        <v>136</v>
      </c>
      <c r="B16" s="258">
        <f>'fluxo caixa dez 2025'!G19+'fluxo caixa jan 2026'!G18+'fluxo caixa fev 2026'!G18+'fluxo caixa mar 2026'!G18+'fluxo caixa abr 2026 '!F18+'fluxo caixa maio 2026 '!J18</f>
        <v>1200206.06</v>
      </c>
    </row>
    <row r="17" spans="1:4" x14ac:dyDescent="0.3">
      <c r="A17" s="257" t="s">
        <v>55</v>
      </c>
      <c r="B17" s="258">
        <f>'fluxo caixa dez 2025'!G20+'fluxo caixa jan 2026'!G19+'fluxo caixa fev 2026'!G19+'fluxo caixa mar 2026'!G19+'fluxo caixa abr 2026 '!F19+'fluxo caixa maio 2026 '!J19</f>
        <v>45041.259999999995</v>
      </c>
    </row>
    <row r="18" spans="1:4" x14ac:dyDescent="0.3">
      <c r="A18" s="257" t="s">
        <v>135</v>
      </c>
      <c r="B18" s="258">
        <f>'fluxo caixa dez 2025'!G21+'fluxo caixa jan 2026'!G20+'fluxo caixa fev 2026'!G20+'fluxo caixa mar 2026'!G20+'fluxo caixa abr 2026 '!F20+'fluxo caixa maio 2026 '!J20</f>
        <v>396654.47</v>
      </c>
    </row>
    <row r="19" spans="1:4" x14ac:dyDescent="0.3">
      <c r="A19" s="257" t="s">
        <v>54</v>
      </c>
      <c r="B19" s="258">
        <f>'fluxo caixa dez 2025'!G22+'fluxo caixa jan 2026'!G21+'fluxo caixa fev 2026'!G21+'fluxo caixa mar 2026'!G21+'fluxo caixa abr 2026 '!F21+'fluxo caixa maio 2026 '!J21</f>
        <v>205845.73999999996</v>
      </c>
    </row>
    <row r="20" spans="1:4" x14ac:dyDescent="0.3">
      <c r="A20" s="257" t="s">
        <v>58</v>
      </c>
      <c r="B20" s="258">
        <f>'fluxo caixa dez 2025'!G23+'fluxo caixa jan 2026'!G22+'fluxo caixa fev 2026'!G22+'fluxo caixa mar 2026'!G22+'fluxo caixa abr 2026 '!F22+'fluxo caixa maio 2026 '!J22</f>
        <v>63074.74</v>
      </c>
    </row>
    <row r="21" spans="1:4" x14ac:dyDescent="0.3">
      <c r="A21" s="257" t="s">
        <v>57</v>
      </c>
      <c r="B21" s="258">
        <f>'fluxo caixa dez 2025'!G24+'fluxo caixa jan 2026'!G23+'fluxo caixa fev 2026'!G23+'fluxo caixa mar 2026'!G23+'fluxo caixa abr 2026 '!F23+'fluxo caixa maio 2026 '!J23</f>
        <v>269868.12</v>
      </c>
    </row>
    <row r="22" spans="1:4" x14ac:dyDescent="0.3">
      <c r="A22" s="257" t="s">
        <v>56</v>
      </c>
      <c r="B22" s="258">
        <f>'fluxo caixa dez 2025'!G25+'fluxo caixa jan 2026'!G24+'fluxo caixa fev 2026'!G24+'fluxo caixa mar 2026'!G24+'fluxo caixa abr 2026 '!F24+'fluxo caixa maio 2026 '!J24</f>
        <v>70755.48</v>
      </c>
    </row>
    <row r="23" spans="1:4" x14ac:dyDescent="0.3">
      <c r="A23" s="257" t="s">
        <v>152</v>
      </c>
      <c r="B23" s="258">
        <f>'fluxo caixa dez 2025'!G26+'fluxo caixa jan 2026'!G25+'fluxo caixa fev 2026'!G25+'fluxo caixa mar 2026'!G25+'fluxo caixa abr 2026 '!F25+'fluxo caixa maio 2026 '!J25</f>
        <v>107165.09000000001</v>
      </c>
    </row>
    <row r="24" spans="1:4" x14ac:dyDescent="0.3">
      <c r="A24" s="247" t="s">
        <v>157</v>
      </c>
      <c r="B24" s="258">
        <f>'fluxo caixa dez 2025'!G27+'fluxo caixa jan 2026'!G26+'fluxo caixa fev 2026'!G26+'fluxo caixa mar 2026'!G26+'fluxo caixa abr 2026 '!F26+'fluxo caixa maio 2026 '!J26</f>
        <v>7192.91</v>
      </c>
      <c r="C24" s="401">
        <v>6488.23</v>
      </c>
      <c r="D24" s="41">
        <f>B24-C24</f>
        <v>704.68000000000029</v>
      </c>
    </row>
    <row r="25" spans="1:4" x14ac:dyDescent="0.3">
      <c r="A25" s="257" t="s">
        <v>154</v>
      </c>
      <c r="B25" s="258">
        <f>'fluxo caixa dez 2025'!G28+'fluxo caixa jan 2026'!G27+'fluxo caixa fev 2026'!G27+'fluxo caixa mar 2026'!G27+'fluxo caixa abr 2026 '!F27+'fluxo caixa maio 2026 '!J27</f>
        <v>39558.339999999997</v>
      </c>
    </row>
    <row r="26" spans="1:4" x14ac:dyDescent="0.3">
      <c r="A26" s="257" t="s">
        <v>236</v>
      </c>
      <c r="B26" s="258">
        <f>'fluxo caixa dez 2025'!G29+'fluxo caixa jan 2026'!G28+'fluxo caixa fev 2026'!G28+'fluxo caixa mar 2026'!G28+'fluxo caixa abr 2026 '!F28+'fluxo caixa maio 2026 '!J28</f>
        <v>77244.429999999993</v>
      </c>
    </row>
    <row r="27" spans="1:4" x14ac:dyDescent="0.3">
      <c r="A27" s="257" t="s">
        <v>238</v>
      </c>
      <c r="B27" s="258">
        <f>'fluxo caixa dez 2025'!G30+'fluxo caixa jan 2026'!G29+'fluxo caixa fev 2026'!G29+'fluxo caixa mar 2026'!G29+'fluxo caixa abr 2026 '!F29+'fluxo caixa maio 2026 '!J29</f>
        <v>54403.839999999997</v>
      </c>
    </row>
    <row r="28" spans="1:4" x14ac:dyDescent="0.3">
      <c r="A28" s="247" t="s">
        <v>248</v>
      </c>
      <c r="B28" s="258">
        <f>'fluxo caixa dez 2025'!G31+'fluxo caixa jan 2026'!G30+'fluxo caixa fev 2026'!G30+'fluxo caixa mar 2026'!G30+'fluxo caixa abr 2026 '!F30+'fluxo caixa maio 2026 '!J30</f>
        <v>69999.75</v>
      </c>
    </row>
    <row r="29" spans="1:4" x14ac:dyDescent="0.3">
      <c r="A29" s="247" t="s">
        <v>249</v>
      </c>
      <c r="B29" s="258">
        <f>'fluxo caixa dez 2025'!G32+'fluxo caixa jan 2026'!G31+'fluxo caixa fev 2026'!G31+'fluxo caixa mar 2026'!G31+'fluxo caixa abr 2026 '!F31+'fluxo caixa maio 2026 '!J31</f>
        <v>231195.77000000002</v>
      </c>
    </row>
    <row r="30" spans="1:4" x14ac:dyDescent="0.3">
      <c r="A30" s="257" t="s">
        <v>253</v>
      </c>
      <c r="B30" s="258">
        <f>'fluxo caixa dez 2025'!G33+'fluxo caixa jan 2026'!G32+'fluxo caixa fev 2026'!G32+'fluxo caixa mar 2026'!G32+'fluxo caixa abr 2026 '!F32+'fluxo caixa maio 2026 '!J32</f>
        <v>103148.64000000001</v>
      </c>
    </row>
    <row r="31" spans="1:4" x14ac:dyDescent="0.3">
      <c r="A31" s="257" t="s">
        <v>255</v>
      </c>
      <c r="B31" s="258">
        <f>'fluxo caixa dez 2025'!G34+'fluxo caixa jan 2026'!G33+'fluxo caixa fev 2026'!G33+'fluxo caixa mar 2026'!G33+'fluxo caixa abr 2026 '!F33+'fluxo caixa maio 2026 '!J33</f>
        <v>3354941.88</v>
      </c>
    </row>
    <row r="32" spans="1:4" x14ac:dyDescent="0.3">
      <c r="A32" s="261" t="s">
        <v>272</v>
      </c>
      <c r="B32" s="258">
        <f>'fluxo caixa dez 2025'!G35+'fluxo caixa jan 2026'!G34+'fluxo caixa fev 2026'!G34+'fluxo caixa mar 2026'!G34+'fluxo caixa abr 2026 '!F34+'fluxo caixa maio 2026 '!J34</f>
        <v>1894338.27</v>
      </c>
    </row>
    <row r="33" spans="1:2" x14ac:dyDescent="0.3">
      <c r="A33" s="260" t="s">
        <v>260</v>
      </c>
      <c r="B33" s="258">
        <f>'fluxo caixa dez 2025'!G36+'fluxo caixa jan 2026'!G35+'fluxo caixa fev 2026'!G35+'fluxo caixa mar 2026'!G35+'fluxo caixa abr 2026 '!F35+'fluxo caixa maio 2026 '!J35</f>
        <v>665258.06000000006</v>
      </c>
    </row>
    <row r="34" spans="1:2" x14ac:dyDescent="0.3">
      <c r="A34" s="257" t="s">
        <v>273</v>
      </c>
      <c r="B34" s="258">
        <f>'fluxo caixa dez 2025'!G37+'fluxo caixa jan 2026'!G36+'fluxo caixa fev 2026'!G36+'fluxo caixa mar 2026'!G36+'fluxo caixa abr 2026 '!F36+'fluxo caixa maio 2026 '!J36</f>
        <v>8337.4399999999987</v>
      </c>
    </row>
    <row r="35" spans="1:2" x14ac:dyDescent="0.3">
      <c r="A35" s="257" t="s">
        <v>283</v>
      </c>
      <c r="B35" s="258">
        <f>'fluxo caixa dez 2025'!G38+'fluxo caixa jan 2026'!G37+'fluxo caixa fev 2026'!G37+'fluxo caixa mar 2026'!G37+'fluxo caixa abr 2026 '!F37+'fluxo caixa maio 2026 '!J37</f>
        <v>15422.96</v>
      </c>
    </row>
    <row r="36" spans="1:2" x14ac:dyDescent="0.3">
      <c r="A36" s="220" t="s">
        <v>270</v>
      </c>
      <c r="B36" s="258">
        <f>'fluxo caixa dez 2025'!G39+'fluxo caixa jan 2026'!G38+'fluxo caixa fev 2026'!G38+'fluxo caixa mar 2026'!G38+'fluxo caixa abr 2026 '!F38+'fluxo caixa maio 2026 '!J38</f>
        <v>0</v>
      </c>
    </row>
    <row r="37" spans="1:2" x14ac:dyDescent="0.3">
      <c r="A37" s="220" t="s">
        <v>271</v>
      </c>
      <c r="B37" s="258">
        <f>'fluxo caixa dez 2025'!G40+'fluxo caixa jan 2026'!G39+'fluxo caixa fev 2026'!G39+'fluxo caixa mar 2026'!G39+'fluxo caixa abr 2026 '!F39+'fluxo caixa maio 2026 '!J39</f>
        <v>0</v>
      </c>
    </row>
  </sheetData>
  <autoFilter ref="A1:B37" xr:uid="{AA36C907-13D3-48F6-9328-2074FAAB9AE8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8CD1-D30D-4CB7-A96E-F15741FACDEE}">
  <dimension ref="A1:AO962"/>
  <sheetViews>
    <sheetView zoomScaleNormal="100" workbookViewId="0">
      <selection activeCell="C29" sqref="C29"/>
    </sheetView>
  </sheetViews>
  <sheetFormatPr defaultColWidth="8.6640625" defaultRowHeight="14.4" x14ac:dyDescent="0.3"/>
  <cols>
    <col min="1" max="1" width="39.44140625" customWidth="1"/>
    <col min="2" max="2" width="20.44140625" bestFit="1" customWidth="1"/>
    <col min="3" max="3" width="21.109375" customWidth="1"/>
    <col min="4" max="5" width="14.33203125" bestFit="1" customWidth="1"/>
    <col min="6" max="6" width="28.109375" bestFit="1" customWidth="1"/>
    <col min="7" max="7" width="14.33203125" bestFit="1" customWidth="1"/>
    <col min="8" max="8" width="12.88671875" bestFit="1" customWidth="1"/>
    <col min="9" max="11" width="14.33203125" customWidth="1"/>
    <col min="12" max="12" width="15.88671875" bestFit="1" customWidth="1"/>
    <col min="13" max="13" width="12.6640625" customWidth="1"/>
    <col min="14" max="14" width="14.33203125" customWidth="1"/>
    <col min="15" max="16" width="25.6640625" bestFit="1" customWidth="1"/>
    <col min="17" max="17" width="32.6640625" bestFit="1" customWidth="1"/>
    <col min="18" max="18" width="14.6640625" customWidth="1"/>
    <col min="19" max="19" width="28.6640625" style="96" bestFit="1" customWidth="1"/>
    <col min="20" max="21" width="8.6640625" style="96"/>
    <col min="22" max="22" width="14.33203125" style="96" customWidth="1"/>
    <col min="23" max="23" width="8.6640625" style="96"/>
    <col min="24" max="24" width="11" style="96" customWidth="1"/>
    <col min="25" max="27" width="8.6640625" style="96"/>
    <col min="28" max="28" width="10.88671875" style="96" customWidth="1"/>
    <col min="29" max="30" width="8.6640625" style="96"/>
    <col min="31" max="31" width="12.33203125" style="96" bestFit="1" customWidth="1"/>
    <col min="34" max="34" width="11.88671875" customWidth="1"/>
  </cols>
  <sheetData>
    <row r="1" spans="1:41" x14ac:dyDescent="0.3">
      <c r="A1" s="30" t="s">
        <v>140</v>
      </c>
      <c r="B1" s="30"/>
      <c r="C1" s="30"/>
      <c r="D1" s="30"/>
      <c r="E1" s="30"/>
      <c r="F1" s="30"/>
      <c r="G1" s="42"/>
      <c r="H1" s="30"/>
      <c r="I1" s="30"/>
      <c r="J1" s="30"/>
      <c r="K1" s="30"/>
      <c r="L1" s="30"/>
      <c r="M1" s="30"/>
      <c r="O1" s="12"/>
    </row>
    <row r="2" spans="1:41" x14ac:dyDescent="0.3">
      <c r="A2" s="8" t="s">
        <v>30</v>
      </c>
      <c r="B2" s="8" t="s">
        <v>1</v>
      </c>
      <c r="C2" s="8" t="s">
        <v>31</v>
      </c>
      <c r="D2" s="8"/>
      <c r="E2" s="8"/>
      <c r="F2" s="8"/>
      <c r="G2" s="8"/>
      <c r="H2" s="9"/>
      <c r="I2" s="9"/>
      <c r="J2" s="9"/>
      <c r="K2" s="9"/>
      <c r="L2" s="9"/>
      <c r="M2" s="9"/>
      <c r="O2" s="53" t="s">
        <v>107</v>
      </c>
      <c r="P2" s="43"/>
      <c r="Q2" s="43"/>
      <c r="R2" s="43"/>
    </row>
    <row r="3" spans="1:41" x14ac:dyDescent="0.3">
      <c r="A3" s="7"/>
      <c r="B3" s="7"/>
      <c r="C3" s="7" t="s">
        <v>32</v>
      </c>
      <c r="D3" s="7" t="s">
        <v>33</v>
      </c>
      <c r="E3" s="7" t="s">
        <v>34</v>
      </c>
      <c r="F3" s="7" t="s">
        <v>229</v>
      </c>
      <c r="G3" s="7" t="s">
        <v>35</v>
      </c>
      <c r="H3" s="7" t="s">
        <v>246</v>
      </c>
      <c r="I3" s="8" t="s">
        <v>37</v>
      </c>
      <c r="J3" s="8" t="s">
        <v>224</v>
      </c>
      <c r="K3" s="8" t="s">
        <v>39</v>
      </c>
      <c r="L3" s="8" t="s">
        <v>208</v>
      </c>
      <c r="M3" s="8" t="s">
        <v>78</v>
      </c>
      <c r="O3" s="8" t="s">
        <v>108</v>
      </c>
      <c r="P3" s="8" t="s">
        <v>130</v>
      </c>
      <c r="Q3" s="71" t="s">
        <v>132</v>
      </c>
      <c r="R3" s="71" t="s">
        <v>221</v>
      </c>
      <c r="S3" s="109" t="s">
        <v>177</v>
      </c>
      <c r="T3" s="109" t="s">
        <v>177</v>
      </c>
      <c r="U3" s="109" t="s">
        <v>177</v>
      </c>
      <c r="V3" s="109" t="s">
        <v>177</v>
      </c>
      <c r="W3" s="109" t="s">
        <v>177</v>
      </c>
      <c r="X3" s="109" t="s">
        <v>177</v>
      </c>
      <c r="Y3" s="109" t="s">
        <v>177</v>
      </c>
      <c r="Z3" s="109" t="s">
        <v>177</v>
      </c>
      <c r="AA3" s="109" t="s">
        <v>177</v>
      </c>
      <c r="AB3" s="109" t="s">
        <v>177</v>
      </c>
      <c r="AC3" s="109" t="s">
        <v>177</v>
      </c>
      <c r="AD3" s="109" t="s">
        <v>177</v>
      </c>
      <c r="AE3" s="109" t="s">
        <v>177</v>
      </c>
      <c r="AF3" s="109" t="s">
        <v>177</v>
      </c>
      <c r="AG3" s="109" t="s">
        <v>177</v>
      </c>
      <c r="AH3" s="109" t="s">
        <v>177</v>
      </c>
    </row>
    <row r="4" spans="1:41" x14ac:dyDescent="0.3">
      <c r="A4" s="93" t="s">
        <v>15</v>
      </c>
      <c r="B4" s="94" t="s">
        <v>5</v>
      </c>
      <c r="C4" s="88">
        <f>935.94+130292.96</f>
        <v>131228.9</v>
      </c>
      <c r="D4" s="121">
        <f>120437.45+20032.11</f>
        <v>140469.56</v>
      </c>
      <c r="E4" s="87">
        <v>0</v>
      </c>
      <c r="F4" s="87"/>
      <c r="G4" s="42">
        <f t="shared" ref="G4:G12" si="0">SUM(C4:E4)</f>
        <v>271698.45999999996</v>
      </c>
      <c r="H4" s="158" t="s">
        <v>245</v>
      </c>
      <c r="I4" s="72">
        <f>G4*15%</f>
        <v>40754.768999999993</v>
      </c>
      <c r="J4" s="144">
        <v>0.15</v>
      </c>
      <c r="K4" s="21" t="s">
        <v>139</v>
      </c>
      <c r="L4" s="130">
        <f>I4-16856.11</f>
        <v>23898.658999999992</v>
      </c>
      <c r="M4" s="21"/>
      <c r="N4" t="s">
        <v>127</v>
      </c>
      <c r="O4" s="17">
        <f>Controle!I4-'fluxo caixa dez 2025'!G5-'fluxo caixa jan 2026 (2)'!G4</f>
        <v>1798694.42</v>
      </c>
      <c r="P4" s="116">
        <f>'fluxo caixa dez 2025'!N5</f>
        <v>0</v>
      </c>
      <c r="Q4" s="17"/>
      <c r="R4" s="25"/>
      <c r="S4" s="138" t="s">
        <v>159</v>
      </c>
      <c r="T4" s="138" t="s">
        <v>160</v>
      </c>
      <c r="U4" s="138"/>
      <c r="V4" s="138"/>
      <c r="W4" s="138" t="s">
        <v>184</v>
      </c>
      <c r="X4" s="138"/>
      <c r="Z4" s="138" t="s">
        <v>185</v>
      </c>
      <c r="AA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x14ac:dyDescent="0.3">
      <c r="A5" s="93" t="s">
        <v>3</v>
      </c>
      <c r="B5" s="94" t="s">
        <v>4</v>
      </c>
      <c r="C5" s="89">
        <f>14.61+28597.08</f>
        <v>28611.690000000002</v>
      </c>
      <c r="D5" s="122">
        <f>7172.46+1557.18</f>
        <v>8729.64</v>
      </c>
      <c r="E5" s="89">
        <f>31995.17+13678.26</f>
        <v>45673.43</v>
      </c>
      <c r="F5" s="152">
        <f>6965.65+1512.28</f>
        <v>8477.93</v>
      </c>
      <c r="G5" s="42">
        <f>SUM(C5:F5)</f>
        <v>91492.69</v>
      </c>
      <c r="I5" s="72">
        <f>G5*12.5%</f>
        <v>11436.58625</v>
      </c>
      <c r="J5" s="145">
        <v>12.5</v>
      </c>
      <c r="K5" s="21" t="s">
        <v>139</v>
      </c>
      <c r="L5" s="130">
        <f>I5-175.49</f>
        <v>11261.096250000001</v>
      </c>
      <c r="M5" s="21"/>
      <c r="N5" s="41"/>
      <c r="O5" s="17">
        <f>Controle!I7-'fluxo caixa dez 2025'!G6-'fluxo caixa jan 2026 (2)'!G5</f>
        <v>465869.60000000003</v>
      </c>
      <c r="P5" s="116">
        <f>'fluxo caixa dez 2025'!N6</f>
        <v>0</v>
      </c>
      <c r="Q5" s="17"/>
      <c r="R5" s="25"/>
      <c r="S5" s="138" t="s">
        <v>144</v>
      </c>
      <c r="T5" s="138" t="s">
        <v>143</v>
      </c>
      <c r="U5" s="138"/>
      <c r="V5" s="138"/>
      <c r="W5" s="138" t="s">
        <v>186</v>
      </c>
      <c r="X5" s="138"/>
      <c r="Z5" s="143" t="s">
        <v>227</v>
      </c>
      <c r="AA5" s="138"/>
      <c r="AB5" s="138"/>
      <c r="AC5" s="143" t="s">
        <v>228</v>
      </c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 x14ac:dyDescent="0.3">
      <c r="A6" s="93" t="s">
        <v>40</v>
      </c>
      <c r="B6" s="94" t="s">
        <v>47</v>
      </c>
      <c r="C6" s="89">
        <f>126.43+7490.92+29915.73</f>
        <v>37533.08</v>
      </c>
      <c r="D6" s="90">
        <v>0</v>
      </c>
      <c r="E6" s="89">
        <f>117113.29+44320.78</f>
        <v>161434.07</v>
      </c>
      <c r="F6" s="89"/>
      <c r="G6" s="42">
        <f t="shared" si="0"/>
        <v>198967.15000000002</v>
      </c>
      <c r="I6" s="74">
        <f>G6*12.5%</f>
        <v>24870.893750000003</v>
      </c>
      <c r="J6" s="146">
        <v>12.5</v>
      </c>
      <c r="K6" s="21" t="s">
        <v>139</v>
      </c>
      <c r="L6" s="130">
        <f>I6-1195.94</f>
        <v>23674.953750000004</v>
      </c>
      <c r="M6" s="21"/>
      <c r="O6" s="17">
        <v>0</v>
      </c>
      <c r="P6" s="116">
        <f>'fluxo caixa dez 2025'!N7-G6</f>
        <v>-198967.15000000002</v>
      </c>
      <c r="Q6" s="17"/>
      <c r="R6" s="25"/>
      <c r="S6" s="138" t="s">
        <v>143</v>
      </c>
      <c r="T6" s="138" t="s">
        <v>144</v>
      </c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 x14ac:dyDescent="0.3">
      <c r="A7" s="93" t="s">
        <v>49</v>
      </c>
      <c r="B7" s="94" t="s">
        <v>42</v>
      </c>
      <c r="C7" s="89">
        <f>77493.14+19258.98+113.33+28.3</f>
        <v>96893.75</v>
      </c>
      <c r="D7" s="89">
        <f>7767.74+36041.33</f>
        <v>43809.07</v>
      </c>
      <c r="E7" s="90">
        <v>0</v>
      </c>
      <c r="F7" s="90"/>
      <c r="G7" s="42">
        <f t="shared" si="0"/>
        <v>140702.82</v>
      </c>
      <c r="H7" t="s">
        <v>247</v>
      </c>
      <c r="I7" s="74">
        <f>G7*12.5%</f>
        <v>17587.852500000001</v>
      </c>
      <c r="J7" s="146">
        <v>12.5</v>
      </c>
      <c r="K7" s="21" t="s">
        <v>139</v>
      </c>
      <c r="L7" s="130">
        <f t="shared" ref="L7:L28" si="1">I7</f>
        <v>17587.852500000001</v>
      </c>
      <c r="M7" s="21"/>
      <c r="O7" s="17">
        <f>Controle!I10-'fluxo caixa dez 2025'!G8-'fluxo caixa jan 2026 (2)'!G7</f>
        <v>615333.82999999984</v>
      </c>
      <c r="P7" s="116">
        <v>0</v>
      </c>
      <c r="Q7" s="17"/>
      <c r="R7" s="25"/>
      <c r="S7" s="138" t="s">
        <v>182</v>
      </c>
      <c r="T7" s="138" t="s">
        <v>183</v>
      </c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 x14ac:dyDescent="0.3">
      <c r="A8" s="93" t="s">
        <v>53</v>
      </c>
      <c r="B8" s="94" t="s">
        <v>6</v>
      </c>
      <c r="C8" s="89">
        <f>78998.75+304.38</f>
        <v>79303.13</v>
      </c>
      <c r="D8" s="89">
        <f>46532.24+10102.4</f>
        <v>56634.64</v>
      </c>
      <c r="E8" s="89">
        <f>133600.09+50256.03</f>
        <v>183856.12</v>
      </c>
      <c r="F8" s="90"/>
      <c r="G8" s="42">
        <f t="shared" si="0"/>
        <v>319793.89</v>
      </c>
      <c r="I8" s="68">
        <f>G8*15%</f>
        <v>47969.083500000001</v>
      </c>
      <c r="J8" s="147">
        <v>15</v>
      </c>
      <c r="K8" s="21" t="s">
        <v>139</v>
      </c>
      <c r="L8" s="130">
        <f t="shared" si="1"/>
        <v>47969.083500000001</v>
      </c>
      <c r="M8" s="21"/>
      <c r="O8" s="17">
        <f>Controle!I13-'fluxo caixa dez 2025'!G9-'fluxo caixa jan 2026 (2)'!G8</f>
        <v>2396149.46</v>
      </c>
      <c r="P8" s="116">
        <f>Controle!J13</f>
        <v>1047001.63</v>
      </c>
      <c r="Q8" s="17"/>
      <c r="R8" s="25"/>
      <c r="S8" s="138" t="s">
        <v>141</v>
      </c>
      <c r="T8" s="138" t="s">
        <v>142</v>
      </c>
      <c r="U8" s="138"/>
      <c r="V8" s="138"/>
      <c r="W8" s="138" t="s">
        <v>187</v>
      </c>
      <c r="X8" s="138"/>
      <c r="Z8" s="143" t="s">
        <v>226</v>
      </c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 x14ac:dyDescent="0.3">
      <c r="A9" s="93" t="s">
        <v>74</v>
      </c>
      <c r="B9" s="94" t="s">
        <v>75</v>
      </c>
      <c r="C9" s="89">
        <f>49803.2+262.02</f>
        <v>50065.219999999994</v>
      </c>
      <c r="D9" s="89">
        <f>13521.85+2923.39</f>
        <v>16445.240000000002</v>
      </c>
      <c r="E9" s="89">
        <f>9420.05+5551.22</f>
        <v>14971.27</v>
      </c>
      <c r="F9" s="90"/>
      <c r="G9" s="42">
        <f t="shared" si="0"/>
        <v>81481.73</v>
      </c>
      <c r="H9" s="158" t="s">
        <v>245</v>
      </c>
      <c r="I9" s="68">
        <f>G9*20%</f>
        <v>16296.346</v>
      </c>
      <c r="J9" s="147">
        <v>20</v>
      </c>
      <c r="K9" s="21" t="s">
        <v>139</v>
      </c>
      <c r="L9" s="130">
        <f t="shared" si="1"/>
        <v>16296.346</v>
      </c>
      <c r="M9" s="21"/>
      <c r="O9" s="17"/>
      <c r="P9" s="116">
        <f>'fluxo caixa dez 2025'!N10-G9</f>
        <v>-81481.73</v>
      </c>
      <c r="Q9" s="17"/>
      <c r="R9" s="25"/>
      <c r="S9" s="138" t="s">
        <v>150</v>
      </c>
      <c r="T9" s="138" t="s">
        <v>151</v>
      </c>
      <c r="U9" s="138"/>
      <c r="V9" s="138"/>
      <c r="W9" s="143" t="s">
        <v>223</v>
      </c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 x14ac:dyDescent="0.3">
      <c r="A10" s="93" t="s">
        <v>77</v>
      </c>
      <c r="B10" s="94" t="s">
        <v>76</v>
      </c>
      <c r="C10" s="89">
        <f>156.57+852.85+9390.58+5449.96+8945.84</f>
        <v>24795.8</v>
      </c>
      <c r="D10" s="90">
        <v>0</v>
      </c>
      <c r="E10" s="89">
        <f>157230.09+58762.83</f>
        <v>215992.91999999998</v>
      </c>
      <c r="F10" s="89"/>
      <c r="G10" s="42">
        <f t="shared" si="0"/>
        <v>240788.71999999997</v>
      </c>
      <c r="I10" s="155">
        <f>G10*20%</f>
        <v>48157.743999999999</v>
      </c>
      <c r="J10" s="148">
        <v>20</v>
      </c>
      <c r="K10" s="21" t="s">
        <v>139</v>
      </c>
      <c r="L10" s="130">
        <f>I10-4118.25</f>
        <v>44039.493999999999</v>
      </c>
      <c r="M10" s="21"/>
      <c r="O10" s="17"/>
      <c r="P10" s="116">
        <f>'fluxo caixa dez 2025'!N11-G10</f>
        <v>-240788.71999999997</v>
      </c>
      <c r="Q10" s="17"/>
      <c r="R10" s="25"/>
      <c r="S10" s="138" t="s">
        <v>165</v>
      </c>
      <c r="T10" s="138" t="s">
        <v>166</v>
      </c>
      <c r="U10" s="138"/>
      <c r="V10" s="138"/>
      <c r="W10" s="138" t="s">
        <v>167</v>
      </c>
      <c r="X10" s="138"/>
      <c r="Y10" s="138"/>
      <c r="Z10" s="138" t="s">
        <v>168</v>
      </c>
      <c r="AB10" s="138"/>
      <c r="AC10" s="138" t="s">
        <v>169</v>
      </c>
      <c r="AE10" s="138"/>
      <c r="AF10" s="138" t="s">
        <v>198</v>
      </c>
      <c r="AG10" s="138"/>
      <c r="AH10" s="138"/>
      <c r="AI10" s="138" t="s">
        <v>199</v>
      </c>
      <c r="AJ10" s="138"/>
      <c r="AK10" s="138"/>
      <c r="AL10" s="138"/>
      <c r="AN10" s="138"/>
      <c r="AO10" s="138"/>
    </row>
    <row r="11" spans="1:41" hidden="1" x14ac:dyDescent="0.3">
      <c r="A11" s="99" t="s">
        <v>51</v>
      </c>
      <c r="B11" s="100" t="s">
        <v>60</v>
      </c>
      <c r="C11" s="101"/>
      <c r="D11" s="102"/>
      <c r="E11" s="102"/>
      <c r="F11" s="102"/>
      <c r="G11" s="103">
        <f t="shared" si="0"/>
        <v>0</v>
      </c>
      <c r="I11" s="68">
        <f>G11*20%</f>
        <v>0</v>
      </c>
      <c r="J11" s="147"/>
      <c r="K11" s="21" t="s">
        <v>139</v>
      </c>
      <c r="L11" s="130">
        <f t="shared" si="1"/>
        <v>0</v>
      </c>
      <c r="M11" s="21"/>
      <c r="O11" s="17">
        <f>'fluxo caixa dez 2025'!M12-G11</f>
        <v>0</v>
      </c>
      <c r="P11" s="116">
        <f>'fluxo caixa dez 2025'!N12-G11</f>
        <v>0</v>
      </c>
      <c r="Q11" s="17"/>
      <c r="R11" s="25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 x14ac:dyDescent="0.3">
      <c r="A12" s="93" t="s">
        <v>79</v>
      </c>
      <c r="B12" s="37" t="s">
        <v>84</v>
      </c>
      <c r="C12" s="91">
        <f>78.19+19197.87+2439.97</f>
        <v>21716.03</v>
      </c>
      <c r="D12" s="91">
        <f>11220.42+2420.38</f>
        <v>13640.8</v>
      </c>
      <c r="E12" s="91">
        <f>20125.8+9405.29</f>
        <v>29531.09</v>
      </c>
      <c r="F12" s="44"/>
      <c r="G12" s="42">
        <f t="shared" si="0"/>
        <v>64887.92</v>
      </c>
      <c r="H12" s="158" t="s">
        <v>245</v>
      </c>
      <c r="I12" s="66">
        <f>G12*15%</f>
        <v>9733.1880000000001</v>
      </c>
      <c r="J12" s="149">
        <v>15</v>
      </c>
      <c r="K12" s="21" t="s">
        <v>139</v>
      </c>
      <c r="L12" s="130">
        <f t="shared" si="1"/>
        <v>9733.1880000000001</v>
      </c>
      <c r="M12" s="37"/>
      <c r="O12" s="17">
        <f>'fluxo caixa dez 2025'!M13-G12</f>
        <v>-64887.92</v>
      </c>
      <c r="P12" s="116">
        <f>'fluxo caixa dez 2025'!N13</f>
        <v>0</v>
      </c>
      <c r="Q12" s="17"/>
      <c r="R12" s="25"/>
      <c r="S12" s="138" t="s">
        <v>170</v>
      </c>
      <c r="T12" s="138" t="s">
        <v>171</v>
      </c>
      <c r="U12" s="138"/>
      <c r="V12" s="138"/>
      <c r="W12" s="138" t="s">
        <v>172</v>
      </c>
      <c r="X12" s="138"/>
      <c r="Y12" s="138"/>
      <c r="Z12" s="138"/>
      <c r="AA12" s="138"/>
      <c r="AB12" s="138"/>
      <c r="AC12" s="138" t="s">
        <v>202</v>
      </c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 x14ac:dyDescent="0.3">
      <c r="A13" s="93" t="s">
        <v>80</v>
      </c>
      <c r="B13" s="37" t="s">
        <v>85</v>
      </c>
      <c r="C13" s="91">
        <f>98562.18+219.33</f>
        <v>98781.51</v>
      </c>
      <c r="D13" s="91">
        <f>57431.51+12295.37</f>
        <v>69726.880000000005</v>
      </c>
      <c r="E13" s="91">
        <f>197425.47+73233.17</f>
        <v>270658.64</v>
      </c>
      <c r="F13" s="91"/>
      <c r="G13" s="42">
        <f>C13+D13+E13</f>
        <v>439167.03</v>
      </c>
      <c r="H13" s="159" t="s">
        <v>245</v>
      </c>
      <c r="I13" s="73">
        <f>G13*15%</f>
        <v>65875.054499999998</v>
      </c>
      <c r="J13" s="150">
        <v>15</v>
      </c>
      <c r="K13" s="21" t="s">
        <v>139</v>
      </c>
      <c r="L13" s="130">
        <f>I13+2815.4</f>
        <v>68690.454499999993</v>
      </c>
      <c r="M13" s="37"/>
      <c r="O13" s="17">
        <v>0</v>
      </c>
      <c r="P13" s="116">
        <v>0</v>
      </c>
      <c r="Q13" s="95">
        <f>Controle!K17-E13-12932.11</f>
        <v>39267.931199999977</v>
      </c>
      <c r="R13" s="140"/>
      <c r="S13" s="138" t="s">
        <v>145</v>
      </c>
      <c r="T13" s="138" t="s">
        <v>146</v>
      </c>
      <c r="U13" s="138"/>
      <c r="V13" s="138"/>
      <c r="W13" s="138" t="s">
        <v>188</v>
      </c>
      <c r="X13" s="138"/>
      <c r="Z13" s="138" t="s">
        <v>189</v>
      </c>
      <c r="AA13" s="138"/>
      <c r="AC13" s="138" t="s">
        <v>200</v>
      </c>
      <c r="AD13" s="138"/>
      <c r="AF13" s="138" t="s">
        <v>201</v>
      </c>
      <c r="AG13" s="138"/>
      <c r="AI13" s="138"/>
      <c r="AJ13" s="138"/>
      <c r="AK13" s="138"/>
      <c r="AL13" s="138"/>
      <c r="AM13" s="138"/>
      <c r="AN13" s="138"/>
      <c r="AO13" s="138"/>
    </row>
    <row r="14" spans="1:41" x14ac:dyDescent="0.3">
      <c r="A14" s="62" t="s">
        <v>82</v>
      </c>
      <c r="B14" s="37" t="s">
        <v>86</v>
      </c>
      <c r="C14" s="91">
        <f>142.36+12909.35+20446.58</f>
        <v>33498.29</v>
      </c>
      <c r="D14" s="110">
        <f>23086.57+5012.17</f>
        <v>28098.739999999998</v>
      </c>
      <c r="E14" s="91">
        <f>67555.94+26480.14</f>
        <v>94036.08</v>
      </c>
      <c r="F14" s="44"/>
      <c r="G14" s="42">
        <f>SUM(C14:E14)</f>
        <v>155633.10999999999</v>
      </c>
      <c r="H14" s="159" t="s">
        <v>245</v>
      </c>
      <c r="I14" s="66">
        <f>G14*20%</f>
        <v>31126.621999999999</v>
      </c>
      <c r="J14" s="149">
        <v>20</v>
      </c>
      <c r="K14" s="21" t="s">
        <v>139</v>
      </c>
      <c r="L14" s="130">
        <f t="shared" si="1"/>
        <v>31126.621999999999</v>
      </c>
      <c r="M14" s="37"/>
      <c r="O14" s="17">
        <f>'fluxo caixa dez 2025'!M15-G14</f>
        <v>-155633.10999999999</v>
      </c>
      <c r="P14" s="116">
        <v>0</v>
      </c>
      <c r="S14" s="138" t="s">
        <v>173</v>
      </c>
      <c r="T14" s="138" t="s">
        <v>174</v>
      </c>
      <c r="U14" s="138"/>
      <c r="V14" s="138"/>
      <c r="W14" s="138" t="s">
        <v>175</v>
      </c>
      <c r="X14" s="138"/>
      <c r="Y14" s="138"/>
      <c r="Z14" s="138" t="s">
        <v>190</v>
      </c>
      <c r="AB14" s="138"/>
      <c r="AC14" s="143" t="s">
        <v>234</v>
      </c>
      <c r="AD14" s="138"/>
      <c r="AE14" s="138"/>
      <c r="AF14" s="143" t="s">
        <v>235</v>
      </c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 x14ac:dyDescent="0.3">
      <c r="A15" s="93" t="s">
        <v>83</v>
      </c>
      <c r="B15" s="60" t="s">
        <v>87</v>
      </c>
      <c r="C15" s="91">
        <v>2762.4</v>
      </c>
      <c r="D15" s="61"/>
      <c r="E15" s="91">
        <f>62937.17+24817.38</f>
        <v>87754.55</v>
      </c>
      <c r="F15" s="61"/>
      <c r="G15" s="42">
        <f>SUM(C15:E15)</f>
        <v>90516.95</v>
      </c>
      <c r="I15" s="67">
        <f>G15*20%</f>
        <v>18103.39</v>
      </c>
      <c r="J15" s="149">
        <v>20</v>
      </c>
      <c r="K15" s="21" t="s">
        <v>139</v>
      </c>
      <c r="L15" s="130">
        <f t="shared" si="1"/>
        <v>18103.39</v>
      </c>
      <c r="M15" s="37"/>
      <c r="O15" s="17">
        <v>0</v>
      </c>
      <c r="P15" s="116">
        <f>'fluxo caixa dez 2025'!N16-G15+26019.92</f>
        <v>63988.89</v>
      </c>
      <c r="Q15" s="17"/>
      <c r="R15" s="25"/>
      <c r="S15" s="138" t="s">
        <v>161</v>
      </c>
      <c r="T15" s="143" t="s">
        <v>230</v>
      </c>
      <c r="U15" s="138"/>
      <c r="V15" s="138"/>
      <c r="W15" s="143" t="s">
        <v>231</v>
      </c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 x14ac:dyDescent="0.3">
      <c r="A16" s="118" t="s">
        <v>122</v>
      </c>
      <c r="B16" s="37" t="s">
        <v>123</v>
      </c>
      <c r="C16" s="91">
        <f>31376.89+2720.16</f>
        <v>34097.050000000003</v>
      </c>
      <c r="D16" s="91">
        <f>50774.67+11023.45</f>
        <v>61798.119999999995</v>
      </c>
      <c r="E16" s="92">
        <f>186463.07+69286.7</f>
        <v>255749.77000000002</v>
      </c>
      <c r="F16" s="92"/>
      <c r="G16" s="42">
        <f>C16+D16+E16</f>
        <v>351644.94</v>
      </c>
      <c r="H16" s="159" t="s">
        <v>245</v>
      </c>
      <c r="I16" s="67">
        <f>G16*20%</f>
        <v>70328.987999999998</v>
      </c>
      <c r="J16" s="149">
        <v>20</v>
      </c>
      <c r="K16" s="21" t="s">
        <v>139</v>
      </c>
      <c r="L16" s="130">
        <f t="shared" si="1"/>
        <v>70328.987999999998</v>
      </c>
      <c r="M16" s="37"/>
      <c r="O16" s="17"/>
      <c r="P16" s="116">
        <f>'fluxo caixa dez 2025'!N17-G16+33872.15</f>
        <v>1291363.07</v>
      </c>
      <c r="Q16" s="17"/>
      <c r="R16" s="25"/>
      <c r="S16" s="138" t="s">
        <v>147</v>
      </c>
      <c r="T16" s="138" t="s">
        <v>148</v>
      </c>
      <c r="U16" s="138"/>
      <c r="V16" s="138"/>
      <c r="W16" s="138" t="s">
        <v>149</v>
      </c>
      <c r="Y16" s="138"/>
      <c r="Z16" s="143" t="s">
        <v>232</v>
      </c>
      <c r="AA16" s="138"/>
      <c r="AB16" s="138"/>
      <c r="AC16" s="143" t="s">
        <v>233</v>
      </c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 x14ac:dyDescent="0.3">
      <c r="A17" s="62" t="s">
        <v>52</v>
      </c>
      <c r="B17" s="82" t="s">
        <v>59</v>
      </c>
      <c r="C17" s="91">
        <f>716191.64+167391.14+2377.65+10949.55+492+106.61+164</f>
        <v>897672.59000000008</v>
      </c>
      <c r="D17" s="91">
        <v>0</v>
      </c>
      <c r="E17" s="92"/>
      <c r="F17" s="92"/>
      <c r="G17" s="42">
        <f t="shared" ref="G17:G27" si="2">C17+D17+E17</f>
        <v>897672.59000000008</v>
      </c>
      <c r="H17" s="159" t="s">
        <v>245</v>
      </c>
      <c r="I17" s="135">
        <f>G17*10%</f>
        <v>89767.25900000002</v>
      </c>
      <c r="J17" s="151">
        <v>10</v>
      </c>
      <c r="K17" s="21" t="s">
        <v>139</v>
      </c>
      <c r="L17" s="130">
        <f t="shared" si="1"/>
        <v>89767.25900000002</v>
      </c>
      <c r="M17" s="37"/>
      <c r="O17" s="17">
        <v>0</v>
      </c>
      <c r="P17" s="77">
        <v>0</v>
      </c>
      <c r="Q17" s="17">
        <f>Controle!K27-'fluxo caixa jan 2026 (2)'!G17</f>
        <v>340788.8899999999</v>
      </c>
      <c r="R17" s="25"/>
      <c r="S17" s="138" t="s">
        <v>176</v>
      </c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 x14ac:dyDescent="0.3">
      <c r="A18" s="117" t="s">
        <v>136</v>
      </c>
      <c r="B18" s="86" t="s">
        <v>137</v>
      </c>
      <c r="C18" s="91">
        <f>100455.18+26388.95+13.27+258.23</f>
        <v>127115.62999999999</v>
      </c>
      <c r="D18" s="91">
        <f>112707.04+24198.56</f>
        <v>136905.60000000001</v>
      </c>
      <c r="E18" s="92">
        <f>90050.68+34578.25</f>
        <v>124628.93</v>
      </c>
      <c r="F18" s="92"/>
      <c r="G18" s="42">
        <f t="shared" si="2"/>
        <v>388650.16</v>
      </c>
      <c r="H18" s="160" t="s">
        <v>245</v>
      </c>
      <c r="I18" s="67">
        <f>G18*15%</f>
        <v>58297.523999999998</v>
      </c>
      <c r="J18" s="149">
        <v>15</v>
      </c>
      <c r="K18" s="21" t="s">
        <v>139</v>
      </c>
      <c r="L18" s="130">
        <f t="shared" si="1"/>
        <v>58297.523999999998</v>
      </c>
      <c r="M18" s="37"/>
      <c r="O18" s="17"/>
      <c r="P18" s="116">
        <f>Controle!J28-E18-C18+59965.46</f>
        <v>1476825.9400000002</v>
      </c>
      <c r="Q18" s="17">
        <v>0</v>
      </c>
      <c r="R18" s="25"/>
      <c r="S18" s="138" t="s">
        <v>191</v>
      </c>
      <c r="T18" s="138" t="s">
        <v>192</v>
      </c>
      <c r="U18" s="138"/>
      <c r="V18" s="138"/>
      <c r="W18" s="138" t="s">
        <v>193</v>
      </c>
      <c r="X18" s="138"/>
      <c r="Y18" s="138"/>
      <c r="Z18" s="138" t="s">
        <v>194</v>
      </c>
      <c r="AA18" s="138"/>
      <c r="AB18" s="138"/>
      <c r="AC18" s="138" t="s">
        <v>195</v>
      </c>
      <c r="AD18" s="138"/>
      <c r="AE18" s="138"/>
      <c r="AF18" s="138" t="s">
        <v>203</v>
      </c>
      <c r="AG18" s="138"/>
      <c r="AH18" s="138"/>
      <c r="AI18" s="138" t="s">
        <v>204</v>
      </c>
      <c r="AJ18" s="138"/>
      <c r="AK18" s="138"/>
      <c r="AL18" s="138"/>
      <c r="AM18" s="138"/>
      <c r="AN18" s="138"/>
      <c r="AO18" s="138"/>
    </row>
    <row r="19" spans="1:41" x14ac:dyDescent="0.3">
      <c r="A19" s="82" t="s">
        <v>55</v>
      </c>
      <c r="B19" s="85" t="s">
        <v>62</v>
      </c>
      <c r="C19" s="91">
        <v>0</v>
      </c>
      <c r="D19" s="91">
        <v>0</v>
      </c>
      <c r="E19" s="92">
        <f>17017.27+8286.22</f>
        <v>25303.489999999998</v>
      </c>
      <c r="F19" s="115"/>
      <c r="G19" s="42">
        <f>C19+D19+E19+F19</f>
        <v>25303.489999999998</v>
      </c>
      <c r="H19" s="41"/>
      <c r="I19" s="67">
        <f t="shared" ref="I19:I24" si="3">G19*12.5%</f>
        <v>3162.9362499999997</v>
      </c>
      <c r="J19" s="149">
        <v>12.5</v>
      </c>
      <c r="K19" s="21" t="s">
        <v>139</v>
      </c>
      <c r="L19" s="130">
        <f t="shared" si="1"/>
        <v>3162.9362499999997</v>
      </c>
      <c r="M19" s="37"/>
      <c r="O19" s="17">
        <v>0</v>
      </c>
      <c r="P19" s="116">
        <f>Controle!J29-G19+2283.29</f>
        <v>397192.20999999996</v>
      </c>
      <c r="Q19" s="17">
        <f>Controle!K29</f>
        <v>2283.29</v>
      </c>
      <c r="R19" s="25"/>
      <c r="S19" s="138" t="s">
        <v>205</v>
      </c>
      <c r="T19" s="143" t="s">
        <v>241</v>
      </c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 x14ac:dyDescent="0.3">
      <c r="A20" s="93" t="s">
        <v>135</v>
      </c>
      <c r="B20" s="85" t="s">
        <v>138</v>
      </c>
      <c r="C20" s="91">
        <v>0</v>
      </c>
      <c r="D20" s="91">
        <v>0</v>
      </c>
      <c r="E20" s="92">
        <f>171542.24+63915.21</f>
        <v>235457.44999999998</v>
      </c>
      <c r="F20" s="153">
        <f>13964.06+13964.06+5747.06+5747.06+2674.68+6498.87</f>
        <v>48595.79</v>
      </c>
      <c r="G20" s="42">
        <f>C20+D20+E20+F20</f>
        <v>284053.24</v>
      </c>
      <c r="H20" s="41"/>
      <c r="I20" s="67">
        <f t="shared" si="3"/>
        <v>35506.654999999999</v>
      </c>
      <c r="J20" s="149">
        <v>12.5</v>
      </c>
      <c r="K20" s="21" t="s">
        <v>139</v>
      </c>
      <c r="L20" s="130">
        <f t="shared" si="1"/>
        <v>35506.654999999999</v>
      </c>
      <c r="M20" s="37"/>
      <c r="O20" s="17">
        <f>Controle!I30</f>
        <v>415594.12</v>
      </c>
      <c r="P20" s="116">
        <f>Controle!J30-G20+65444.12+12131.07</f>
        <v>38152.970200000011</v>
      </c>
      <c r="Q20" s="17"/>
      <c r="R20" s="25"/>
      <c r="S20" s="138" t="s">
        <v>206</v>
      </c>
      <c r="T20" s="138" t="s">
        <v>207</v>
      </c>
      <c r="U20" s="138"/>
      <c r="V20" s="138"/>
      <c r="W20" s="138" t="s">
        <v>219</v>
      </c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 x14ac:dyDescent="0.3">
      <c r="A21" s="93" t="s">
        <v>54</v>
      </c>
      <c r="B21" s="85" t="s">
        <v>61</v>
      </c>
      <c r="C21" s="91">
        <v>0</v>
      </c>
      <c r="D21" s="91">
        <v>0</v>
      </c>
      <c r="E21" s="92">
        <f>74334.87+28920.55</f>
        <v>103255.42</v>
      </c>
      <c r="F21" s="153">
        <f>7894.9+16999.48</f>
        <v>24894.379999999997</v>
      </c>
      <c r="G21" s="42">
        <f>C21+D21+E21+F21</f>
        <v>128149.79999999999</v>
      </c>
      <c r="H21" s="41"/>
      <c r="I21" s="67">
        <f t="shared" si="3"/>
        <v>16018.724999999999</v>
      </c>
      <c r="J21" s="149">
        <v>12.5</v>
      </c>
      <c r="K21" s="21" t="s">
        <v>139</v>
      </c>
      <c r="L21" s="130">
        <f t="shared" si="1"/>
        <v>16018.724999999999</v>
      </c>
      <c r="M21" s="37"/>
      <c r="O21" s="17">
        <v>0</v>
      </c>
      <c r="P21" s="116">
        <f>Controle!J31-E21-2166.12</f>
        <v>851223.37</v>
      </c>
      <c r="Q21" s="17">
        <v>0</v>
      </c>
      <c r="R21" s="25"/>
      <c r="S21" s="138" t="s">
        <v>181</v>
      </c>
      <c r="T21" s="138" t="s">
        <v>209</v>
      </c>
      <c r="V21" s="138"/>
      <c r="W21" s="138"/>
      <c r="X21" s="138"/>
      <c r="Y21" s="138"/>
      <c r="Z21" s="138"/>
      <c r="AA21" s="138"/>
      <c r="AB21" s="138"/>
      <c r="AC21" s="138"/>
      <c r="AD21" s="138"/>
      <c r="AE21" s="139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 x14ac:dyDescent="0.3">
      <c r="A22" s="93" t="s">
        <v>58</v>
      </c>
      <c r="B22" s="85" t="s">
        <v>65</v>
      </c>
      <c r="C22" s="91">
        <v>0</v>
      </c>
      <c r="D22" s="91">
        <v>0</v>
      </c>
      <c r="E22" s="92">
        <f>33633.61+14268.1</f>
        <v>47901.71</v>
      </c>
      <c r="F22" s="153">
        <f>3599.96+3599.96+2159.97+2159.97+1005.25+1675.42</f>
        <v>14200.529999999999</v>
      </c>
      <c r="G22" s="42">
        <f t="shared" ref="G22:G24" si="4">C22+D22+E22+F22</f>
        <v>62102.239999999998</v>
      </c>
      <c r="H22" s="41"/>
      <c r="I22" s="67">
        <f t="shared" si="3"/>
        <v>7762.78</v>
      </c>
      <c r="J22" s="149">
        <v>12.5</v>
      </c>
      <c r="K22" s="21" t="s">
        <v>139</v>
      </c>
      <c r="L22" s="130">
        <f t="shared" si="1"/>
        <v>7762.78</v>
      </c>
      <c r="M22" s="37"/>
      <c r="O22" s="17">
        <v>0</v>
      </c>
      <c r="P22" s="116">
        <f>Controle!J32-G22+4879.67</f>
        <v>255300.25000000003</v>
      </c>
      <c r="Q22" s="17">
        <v>0</v>
      </c>
      <c r="R22" s="25"/>
      <c r="S22" s="138" t="s">
        <v>210</v>
      </c>
      <c r="T22" s="138" t="s">
        <v>212</v>
      </c>
      <c r="U22" s="138"/>
      <c r="V22" s="138"/>
      <c r="W22" s="138" t="s">
        <v>211</v>
      </c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 x14ac:dyDescent="0.3">
      <c r="A23" s="114" t="s">
        <v>57</v>
      </c>
      <c r="B23" s="85" t="s">
        <v>64</v>
      </c>
      <c r="C23" s="91">
        <v>0</v>
      </c>
      <c r="D23" s="91">
        <v>0</v>
      </c>
      <c r="E23" s="92">
        <f>130100.69+48996.25</f>
        <v>179096.94</v>
      </c>
      <c r="F23" s="153">
        <f>8736.67+8736.67+3865.2+3865.2+1798.86+4066.05</f>
        <v>31068.65</v>
      </c>
      <c r="G23" s="42">
        <f t="shared" si="4"/>
        <v>210165.59</v>
      </c>
      <c r="H23" s="134"/>
      <c r="I23" s="67">
        <f t="shared" si="3"/>
        <v>26270.69875</v>
      </c>
      <c r="J23" s="149">
        <v>12.5</v>
      </c>
      <c r="K23" s="21" t="s">
        <v>139</v>
      </c>
      <c r="L23" s="130">
        <f t="shared" si="1"/>
        <v>26270.69875</v>
      </c>
      <c r="M23" s="37"/>
      <c r="O23" s="17">
        <v>0</v>
      </c>
      <c r="P23" s="116">
        <f>Controle!J33-G23+23459.96</f>
        <v>959775.4</v>
      </c>
      <c r="Q23" s="17">
        <v>0</v>
      </c>
      <c r="R23" s="25"/>
      <c r="S23" s="138" t="s">
        <v>215</v>
      </c>
      <c r="T23" s="138" t="s">
        <v>213</v>
      </c>
      <c r="U23" s="138"/>
      <c r="V23" s="138"/>
      <c r="W23" s="138" t="s">
        <v>214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 x14ac:dyDescent="0.3">
      <c r="A24" s="93" t="s">
        <v>56</v>
      </c>
      <c r="B24" s="85" t="s">
        <v>63</v>
      </c>
      <c r="C24" s="91"/>
      <c r="D24" s="91">
        <v>0</v>
      </c>
      <c r="E24" s="92">
        <f>32652.16+13914.78</f>
        <v>46566.94</v>
      </c>
      <c r="F24" s="153">
        <f>2036.94+2036.94+1222.16+1222.16+568.79+948</f>
        <v>8034.99</v>
      </c>
      <c r="G24" s="42">
        <f t="shared" si="4"/>
        <v>54601.93</v>
      </c>
      <c r="H24" s="108"/>
      <c r="I24" s="67">
        <f t="shared" si="3"/>
        <v>6825.24125</v>
      </c>
      <c r="J24" s="149">
        <v>12.5</v>
      </c>
      <c r="K24" s="21" t="s">
        <v>139</v>
      </c>
      <c r="L24" s="130">
        <f t="shared" si="1"/>
        <v>6825.24125</v>
      </c>
      <c r="M24" s="37"/>
      <c r="O24" s="17">
        <f>Controle!I34-G24</f>
        <v>35958.07</v>
      </c>
      <c r="P24" s="116">
        <v>0</v>
      </c>
      <c r="Q24" s="17">
        <f>Controle!K34</f>
        <v>38213.9182</v>
      </c>
      <c r="R24" s="25"/>
      <c r="S24" s="138" t="s">
        <v>216</v>
      </c>
      <c r="T24" s="138" t="s">
        <v>217</v>
      </c>
      <c r="V24" s="138"/>
      <c r="W24" s="138" t="s">
        <v>218</v>
      </c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 x14ac:dyDescent="0.3">
      <c r="A25" s="84" t="s">
        <v>152</v>
      </c>
      <c r="B25" s="86" t="s">
        <v>153</v>
      </c>
      <c r="C25" s="91">
        <f>12616.09</f>
        <v>12616.09</v>
      </c>
      <c r="D25" s="91">
        <v>0</v>
      </c>
      <c r="E25" s="92">
        <v>0</v>
      </c>
      <c r="F25" s="92">
        <v>0</v>
      </c>
      <c r="G25" s="42">
        <f t="shared" si="2"/>
        <v>12616.09</v>
      </c>
      <c r="H25" s="158" t="s">
        <v>245</v>
      </c>
      <c r="I25" s="67">
        <f t="shared" ref="I25:I29" si="5">G25*20%</f>
        <v>2523.2180000000003</v>
      </c>
      <c r="J25" s="149">
        <v>20</v>
      </c>
      <c r="K25" s="21" t="s">
        <v>139</v>
      </c>
      <c r="L25" s="130">
        <f t="shared" si="1"/>
        <v>2523.2180000000003</v>
      </c>
      <c r="M25" s="37"/>
      <c r="O25" s="17">
        <f>Controle!I35-'fluxo caixa jan 2026 (2)'!G25</f>
        <v>1037527.63</v>
      </c>
      <c r="P25" s="116">
        <f>Controle!J35</f>
        <v>127712.31</v>
      </c>
      <c r="Q25" s="17"/>
      <c r="R25" s="25"/>
      <c r="S25" s="138" t="s">
        <v>162</v>
      </c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 x14ac:dyDescent="0.3">
      <c r="A26" s="84" t="s">
        <v>157</v>
      </c>
      <c r="B26" s="86" t="s">
        <v>158</v>
      </c>
      <c r="C26" s="91">
        <v>944.88</v>
      </c>
      <c r="D26" s="91">
        <v>0</v>
      </c>
      <c r="E26" s="92"/>
      <c r="F26" s="92">
        <v>0</v>
      </c>
      <c r="G26" s="42">
        <f t="shared" si="2"/>
        <v>944.88</v>
      </c>
      <c r="H26" s="158" t="s">
        <v>245</v>
      </c>
      <c r="I26" s="67">
        <f t="shared" si="5"/>
        <v>188.976</v>
      </c>
      <c r="J26" s="149">
        <v>20</v>
      </c>
      <c r="K26" s="21" t="s">
        <v>139</v>
      </c>
      <c r="L26" s="130">
        <f t="shared" si="1"/>
        <v>188.976</v>
      </c>
      <c r="M26" s="37"/>
      <c r="O26" s="17">
        <f>Controle!I36-'fluxo caixa jan 2026 (2)'!G26</f>
        <v>357673.02999999997</v>
      </c>
      <c r="P26" s="116">
        <f>Controle!J36</f>
        <v>206005.26</v>
      </c>
      <c r="Q26" s="17"/>
      <c r="R26" s="25"/>
      <c r="S26" s="138" t="s">
        <v>163</v>
      </c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 x14ac:dyDescent="0.3">
      <c r="A27" s="84" t="s">
        <v>154</v>
      </c>
      <c r="B27" s="86" t="s">
        <v>155</v>
      </c>
      <c r="C27" s="91">
        <f>4471.52+1055.9</f>
        <v>5527.42</v>
      </c>
      <c r="D27" s="91">
        <v>0</v>
      </c>
      <c r="E27" s="92">
        <v>0</v>
      </c>
      <c r="F27" s="92">
        <v>0</v>
      </c>
      <c r="G27" s="42">
        <f t="shared" si="2"/>
        <v>5527.42</v>
      </c>
      <c r="H27" s="158" t="s">
        <v>245</v>
      </c>
      <c r="I27" s="67">
        <f t="shared" si="5"/>
        <v>1105.4840000000002</v>
      </c>
      <c r="J27" s="149">
        <v>20</v>
      </c>
      <c r="K27" s="21" t="s">
        <v>139</v>
      </c>
      <c r="L27" s="130">
        <f t="shared" si="1"/>
        <v>1105.4840000000002</v>
      </c>
      <c r="M27" s="37"/>
      <c r="O27" s="17">
        <f>Controle!I37-'fluxo caixa jan 2026 (2)'!G27</f>
        <v>671527.19</v>
      </c>
      <c r="P27" s="116">
        <f>Controle!J37</f>
        <v>61872.72</v>
      </c>
      <c r="Q27" s="17"/>
      <c r="R27" s="25"/>
      <c r="S27" s="138" t="s">
        <v>164</v>
      </c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 x14ac:dyDescent="0.3">
      <c r="A28" s="84" t="s">
        <v>236</v>
      </c>
      <c r="B28" s="86" t="s">
        <v>237</v>
      </c>
      <c r="C28" s="91">
        <v>0</v>
      </c>
      <c r="D28" s="91">
        <v>0</v>
      </c>
      <c r="E28" s="123">
        <f>12003.43+6481.23</f>
        <v>18484.66</v>
      </c>
      <c r="F28" s="92">
        <v>0</v>
      </c>
      <c r="G28" s="42">
        <f>C28+D28+E28+F28</f>
        <v>18484.66</v>
      </c>
      <c r="I28" s="67">
        <f t="shared" si="5"/>
        <v>3696.9320000000002</v>
      </c>
      <c r="J28" s="149">
        <v>20</v>
      </c>
      <c r="K28" s="156" t="s">
        <v>139</v>
      </c>
      <c r="L28" s="130">
        <f t="shared" si="1"/>
        <v>3696.9320000000002</v>
      </c>
      <c r="M28" s="37"/>
      <c r="N28" s="37"/>
      <c r="O28" s="17">
        <f>Controle!I39-'fluxo caixa jan 2026 (2)'!G28</f>
        <v>163551.1</v>
      </c>
      <c r="P28" s="116"/>
      <c r="Q28" s="17"/>
      <c r="R28" s="25"/>
      <c r="S28" s="143" t="s">
        <v>242</v>
      </c>
    </row>
    <row r="29" spans="1:41" x14ac:dyDescent="0.3">
      <c r="A29" s="84" t="s">
        <v>238</v>
      </c>
      <c r="B29" s="86" t="s">
        <v>239</v>
      </c>
      <c r="C29" s="91">
        <v>0</v>
      </c>
      <c r="D29" s="91">
        <v>0</v>
      </c>
      <c r="E29" s="123">
        <f>6049.24+3629.54</f>
        <v>9678.7799999999988</v>
      </c>
      <c r="F29" s="92">
        <v>0</v>
      </c>
      <c r="G29" s="42">
        <f>C29+D29+E29+F29</f>
        <v>9678.7799999999988</v>
      </c>
      <c r="I29" s="67">
        <f t="shared" si="5"/>
        <v>1935.7559999999999</v>
      </c>
      <c r="J29" s="149">
        <v>20</v>
      </c>
      <c r="K29" s="156" t="s">
        <v>139</v>
      </c>
      <c r="L29" s="130">
        <f>I29</f>
        <v>1935.7559999999999</v>
      </c>
      <c r="M29" s="37"/>
      <c r="N29" s="37"/>
      <c r="O29" s="17">
        <f>Controle!I40-'fluxo caixa jan 2026 (2)'!G29</f>
        <v>101066.62</v>
      </c>
      <c r="P29" s="116"/>
      <c r="Q29" s="17"/>
      <c r="R29" s="25"/>
      <c r="S29" s="143" t="s">
        <v>243</v>
      </c>
      <c r="T29" s="143" t="s">
        <v>244</v>
      </c>
    </row>
    <row r="30" spans="1:41" s="110" customFormat="1" x14ac:dyDescent="0.3">
      <c r="D30" s="111"/>
      <c r="G30" s="110">
        <f>SUM(G1:G28)</f>
        <v>4535047.5</v>
      </c>
      <c r="I30" s="132">
        <f>SUM(I4:I29)</f>
        <v>655302.70275000017</v>
      </c>
      <c r="J30" s="132"/>
      <c r="L30" s="131">
        <f>SUM(L4:L29)</f>
        <v>635772.31275000016</v>
      </c>
      <c r="M30" s="30"/>
      <c r="N30" s="131"/>
      <c r="O30" s="112">
        <f>SUM(O4:O27)</f>
        <v>7573806.3200000003</v>
      </c>
      <c r="P30" s="112">
        <f>SUM(P4:P27)</f>
        <v>6255176.4201999996</v>
      </c>
      <c r="Q30" s="112">
        <f>SUM(Q4:Q27)</f>
        <v>420554.02939999988</v>
      </c>
      <c r="R30" s="112">
        <f>O30+P30+Q30</f>
        <v>14249536.7696</v>
      </c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</row>
    <row r="31" spans="1:41" x14ac:dyDescent="0.3">
      <c r="A31" s="104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161">
        <f>L30*20%</f>
        <v>127154.46255000004</v>
      </c>
      <c r="M31" s="30"/>
      <c r="N31" s="69"/>
      <c r="O31" s="9"/>
    </row>
    <row r="32" spans="1:41" x14ac:dyDescent="0.3">
      <c r="D32" s="41"/>
      <c r="I32" s="69"/>
      <c r="J32" s="69"/>
      <c r="L32" s="69">
        <f>L30-L31</f>
        <v>508617.8502000001</v>
      </c>
      <c r="M32" s="69"/>
      <c r="O32" s="41">
        <f>O30+P30+Q30</f>
        <v>14249536.7696</v>
      </c>
    </row>
    <row r="33" spans="1:19" x14ac:dyDescent="0.3">
      <c r="A33" s="106"/>
      <c r="B33" s="107" t="s">
        <v>156</v>
      </c>
      <c r="C33" s="108"/>
      <c r="D33" s="41"/>
      <c r="G33" s="69"/>
      <c r="H33" s="69"/>
      <c r="I33" s="69"/>
      <c r="J33" s="69"/>
      <c r="L33" s="69"/>
      <c r="M33" s="69"/>
      <c r="N33" s="41"/>
      <c r="O33" s="41"/>
    </row>
    <row r="34" spans="1:19" x14ac:dyDescent="0.3">
      <c r="A34" s="119"/>
      <c r="B34" s="120" t="s">
        <v>179</v>
      </c>
      <c r="H34" s="41"/>
      <c r="I34" s="69"/>
      <c r="J34" s="69"/>
      <c r="L34" s="69"/>
      <c r="M34" s="69"/>
      <c r="N34" s="69"/>
      <c r="O34" s="41"/>
      <c r="P34" s="69"/>
    </row>
    <row r="35" spans="1:19" x14ac:dyDescent="0.3">
      <c r="A35" s="154"/>
      <c r="B35" s="133" t="s">
        <v>220</v>
      </c>
      <c r="E35" s="65"/>
      <c r="F35" s="65"/>
      <c r="H35" s="69"/>
      <c r="I35" s="69"/>
      <c r="J35" s="69"/>
      <c r="L35" s="69"/>
      <c r="M35" s="69"/>
      <c r="N35" s="69">
        <v>590</v>
      </c>
      <c r="O35" s="41"/>
      <c r="P35" s="69"/>
    </row>
    <row r="36" spans="1:19" x14ac:dyDescent="0.3">
      <c r="I36" s="69"/>
      <c r="J36" s="69"/>
      <c r="L36" s="108"/>
      <c r="N36" s="41">
        <v>560</v>
      </c>
      <c r="P36" s="69"/>
    </row>
    <row r="37" spans="1:19" x14ac:dyDescent="0.3">
      <c r="I37" s="136"/>
      <c r="J37" s="136"/>
      <c r="K37" s="137">
        <v>0.1</v>
      </c>
      <c r="L37" s="69"/>
      <c r="N37">
        <v>2011</v>
      </c>
      <c r="O37" s="69"/>
    </row>
    <row r="38" spans="1:19" x14ac:dyDescent="0.3">
      <c r="I38" s="75"/>
      <c r="J38" s="75"/>
      <c r="K38" s="76">
        <v>0.125</v>
      </c>
      <c r="L38" s="69"/>
      <c r="N38">
        <v>98</v>
      </c>
      <c r="O38" s="9"/>
    </row>
    <row r="39" spans="1:19" x14ac:dyDescent="0.3">
      <c r="I39" s="77"/>
      <c r="J39" s="77"/>
      <c r="K39" t="s">
        <v>133</v>
      </c>
      <c r="L39" s="41"/>
      <c r="O39" s="9"/>
    </row>
    <row r="40" spans="1:19" x14ac:dyDescent="0.3">
      <c r="O40" s="9"/>
      <c r="S40" s="96">
        <f>11343.59+431.16+4537.43</f>
        <v>16312.18</v>
      </c>
    </row>
    <row r="41" spans="1:19" x14ac:dyDescent="0.3">
      <c r="O41" s="9"/>
      <c r="S41" s="96">
        <f>S40+6806.15</f>
        <v>23118.33</v>
      </c>
    </row>
    <row r="42" spans="1:19" x14ac:dyDescent="0.3">
      <c r="O42" s="9"/>
    </row>
    <row r="43" spans="1:19" x14ac:dyDescent="0.3">
      <c r="O43" s="9"/>
    </row>
    <row r="44" spans="1:19" x14ac:dyDescent="0.3">
      <c r="O44" s="9"/>
    </row>
    <row r="45" spans="1:19" x14ac:dyDescent="0.3">
      <c r="O45" s="9"/>
    </row>
    <row r="46" spans="1:19" x14ac:dyDescent="0.3">
      <c r="O46" s="9"/>
    </row>
    <row r="47" spans="1:19" x14ac:dyDescent="0.3">
      <c r="O47" s="9"/>
    </row>
    <row r="48" spans="1:19" x14ac:dyDescent="0.3">
      <c r="O48" s="9"/>
    </row>
    <row r="49" spans="15:15" x14ac:dyDescent="0.3">
      <c r="O49" s="9"/>
    </row>
    <row r="50" spans="15:15" x14ac:dyDescent="0.3">
      <c r="O50" s="9"/>
    </row>
    <row r="51" spans="15:15" x14ac:dyDescent="0.3">
      <c r="O51" s="9"/>
    </row>
    <row r="52" spans="15:15" x14ac:dyDescent="0.3">
      <c r="O52" s="9"/>
    </row>
    <row r="53" spans="15:15" x14ac:dyDescent="0.3">
      <c r="O53" s="9"/>
    </row>
    <row r="54" spans="15:15" x14ac:dyDescent="0.3">
      <c r="O54" s="9"/>
    </row>
    <row r="55" spans="15:15" x14ac:dyDescent="0.3">
      <c r="O55" s="9"/>
    </row>
    <row r="56" spans="15:15" x14ac:dyDescent="0.3">
      <c r="O56" s="9"/>
    </row>
    <row r="57" spans="15:15" x14ac:dyDescent="0.3">
      <c r="O57" s="9"/>
    </row>
    <row r="58" spans="15:15" x14ac:dyDescent="0.3">
      <c r="O58" s="9"/>
    </row>
    <row r="59" spans="15:15" x14ac:dyDescent="0.3">
      <c r="O59" s="9"/>
    </row>
    <row r="60" spans="15:15" x14ac:dyDescent="0.3">
      <c r="O60" s="9"/>
    </row>
    <row r="61" spans="15:15" x14ac:dyDescent="0.3">
      <c r="O61" s="9"/>
    </row>
    <row r="62" spans="15:15" x14ac:dyDescent="0.3">
      <c r="O62" s="9"/>
    </row>
    <row r="63" spans="15:15" x14ac:dyDescent="0.3">
      <c r="O63" s="9"/>
    </row>
    <row r="64" spans="15:15" x14ac:dyDescent="0.3">
      <c r="O64" s="9"/>
    </row>
    <row r="65" spans="15:15" x14ac:dyDescent="0.3">
      <c r="O65" s="9"/>
    </row>
    <row r="66" spans="15:15" x14ac:dyDescent="0.3">
      <c r="O66" s="9"/>
    </row>
    <row r="67" spans="15:15" x14ac:dyDescent="0.3">
      <c r="O67" s="9"/>
    </row>
    <row r="68" spans="15:15" x14ac:dyDescent="0.3">
      <c r="O68" s="9"/>
    </row>
    <row r="69" spans="15:15" x14ac:dyDescent="0.3">
      <c r="O69" s="9"/>
    </row>
    <row r="70" spans="15:15" x14ac:dyDescent="0.3">
      <c r="O70" s="9"/>
    </row>
    <row r="71" spans="15:15" x14ac:dyDescent="0.3">
      <c r="O71" s="9"/>
    </row>
    <row r="72" spans="15:15" x14ac:dyDescent="0.3">
      <c r="O72" s="9"/>
    </row>
    <row r="73" spans="15:15" x14ac:dyDescent="0.3">
      <c r="O73" s="9"/>
    </row>
    <row r="74" spans="15:15" x14ac:dyDescent="0.3">
      <c r="O74" s="9"/>
    </row>
    <row r="75" spans="15:15" x14ac:dyDescent="0.3">
      <c r="O75" s="9"/>
    </row>
    <row r="76" spans="15:15" x14ac:dyDescent="0.3">
      <c r="O76" s="9"/>
    </row>
    <row r="77" spans="15:15" x14ac:dyDescent="0.3">
      <c r="O77" s="9"/>
    </row>
    <row r="78" spans="15:15" x14ac:dyDescent="0.3">
      <c r="O78" s="9"/>
    </row>
    <row r="79" spans="15:15" x14ac:dyDescent="0.3">
      <c r="O79" s="9"/>
    </row>
    <row r="80" spans="15:15" x14ac:dyDescent="0.3">
      <c r="O80" s="9"/>
    </row>
    <row r="81" spans="15:15" x14ac:dyDescent="0.3">
      <c r="O81" s="9"/>
    </row>
    <row r="82" spans="15:15" x14ac:dyDescent="0.3">
      <c r="O82" s="9"/>
    </row>
    <row r="83" spans="15:15" x14ac:dyDescent="0.3">
      <c r="O83" s="9"/>
    </row>
    <row r="84" spans="15:15" x14ac:dyDescent="0.3">
      <c r="O84" s="9"/>
    </row>
    <row r="85" spans="15:15" x14ac:dyDescent="0.3">
      <c r="O85" s="9"/>
    </row>
    <row r="86" spans="15:15" x14ac:dyDescent="0.3">
      <c r="O86" s="9"/>
    </row>
    <row r="87" spans="15:15" x14ac:dyDescent="0.3">
      <c r="O87" s="9"/>
    </row>
    <row r="88" spans="15:15" x14ac:dyDescent="0.3">
      <c r="O88" s="9"/>
    </row>
    <row r="89" spans="15:15" x14ac:dyDescent="0.3">
      <c r="O89" s="9"/>
    </row>
    <row r="90" spans="15:15" x14ac:dyDescent="0.3">
      <c r="O90" s="9"/>
    </row>
    <row r="91" spans="15:15" x14ac:dyDescent="0.3">
      <c r="O91" s="9"/>
    </row>
    <row r="92" spans="15:15" x14ac:dyDescent="0.3">
      <c r="O92" s="9"/>
    </row>
    <row r="93" spans="15:15" x14ac:dyDescent="0.3">
      <c r="O93" s="9"/>
    </row>
    <row r="94" spans="15:15" x14ac:dyDescent="0.3">
      <c r="O94" s="9"/>
    </row>
    <row r="95" spans="15:15" x14ac:dyDescent="0.3">
      <c r="O95" s="9"/>
    </row>
    <row r="96" spans="15:15" x14ac:dyDescent="0.3">
      <c r="O96" s="9"/>
    </row>
    <row r="97" spans="15:15" x14ac:dyDescent="0.3">
      <c r="O97" s="9"/>
    </row>
    <row r="98" spans="15:15" x14ac:dyDescent="0.3">
      <c r="O98" s="9"/>
    </row>
    <row r="99" spans="15:15" x14ac:dyDescent="0.3">
      <c r="O99" s="9"/>
    </row>
    <row r="100" spans="15:15" x14ac:dyDescent="0.3">
      <c r="O100" s="9"/>
    </row>
    <row r="101" spans="15:15" x14ac:dyDescent="0.3">
      <c r="O101" s="9"/>
    </row>
    <row r="102" spans="15:15" x14ac:dyDescent="0.3">
      <c r="O102" s="9"/>
    </row>
    <row r="103" spans="15:15" x14ac:dyDescent="0.3">
      <c r="O103" s="9"/>
    </row>
    <row r="104" spans="15:15" x14ac:dyDescent="0.3">
      <c r="O104" s="9"/>
    </row>
    <row r="105" spans="15:15" x14ac:dyDescent="0.3">
      <c r="O105" s="9"/>
    </row>
    <row r="106" spans="15:15" x14ac:dyDescent="0.3">
      <c r="O106" s="9"/>
    </row>
    <row r="107" spans="15:15" x14ac:dyDescent="0.3">
      <c r="O107" s="9"/>
    </row>
    <row r="108" spans="15:15" x14ac:dyDescent="0.3">
      <c r="O108" s="9"/>
    </row>
    <row r="109" spans="15:15" x14ac:dyDescent="0.3">
      <c r="O109" s="9"/>
    </row>
    <row r="110" spans="15:15" x14ac:dyDescent="0.3">
      <c r="O110" s="9"/>
    </row>
    <row r="111" spans="15:15" x14ac:dyDescent="0.3">
      <c r="O111" s="9"/>
    </row>
    <row r="112" spans="15:15" x14ac:dyDescent="0.3">
      <c r="O112" s="9"/>
    </row>
    <row r="113" spans="15:15" x14ac:dyDescent="0.3">
      <c r="O113" s="9"/>
    </row>
    <row r="114" spans="15:15" x14ac:dyDescent="0.3">
      <c r="O114" s="9"/>
    </row>
    <row r="115" spans="15:15" x14ac:dyDescent="0.3">
      <c r="O115" s="9"/>
    </row>
    <row r="116" spans="15:15" x14ac:dyDescent="0.3">
      <c r="O116" s="9"/>
    </row>
    <row r="117" spans="15:15" x14ac:dyDescent="0.3">
      <c r="O117" s="9"/>
    </row>
    <row r="118" spans="15:15" x14ac:dyDescent="0.3">
      <c r="O118" s="9"/>
    </row>
    <row r="119" spans="15:15" x14ac:dyDescent="0.3">
      <c r="O119" s="9"/>
    </row>
    <row r="120" spans="15:15" x14ac:dyDescent="0.3">
      <c r="O120" s="9"/>
    </row>
    <row r="121" spans="15:15" x14ac:dyDescent="0.3">
      <c r="O121" s="9"/>
    </row>
    <row r="122" spans="15:15" x14ac:dyDescent="0.3">
      <c r="O122" s="9"/>
    </row>
    <row r="123" spans="15:15" x14ac:dyDescent="0.3">
      <c r="O123" s="9"/>
    </row>
    <row r="124" spans="15:15" x14ac:dyDescent="0.3">
      <c r="O124" s="9"/>
    </row>
    <row r="125" spans="15:15" x14ac:dyDescent="0.3">
      <c r="O125" s="9"/>
    </row>
    <row r="126" spans="15:15" x14ac:dyDescent="0.3">
      <c r="O126" s="9"/>
    </row>
    <row r="127" spans="15:15" x14ac:dyDescent="0.3">
      <c r="O127" s="9"/>
    </row>
    <row r="128" spans="15:15" x14ac:dyDescent="0.3">
      <c r="O128" s="9"/>
    </row>
    <row r="129" spans="15:15" x14ac:dyDescent="0.3">
      <c r="O129" s="9"/>
    </row>
    <row r="130" spans="15:15" x14ac:dyDescent="0.3">
      <c r="O130" s="9"/>
    </row>
    <row r="131" spans="15:15" x14ac:dyDescent="0.3">
      <c r="O131" s="9"/>
    </row>
    <row r="132" spans="15:15" x14ac:dyDescent="0.3">
      <c r="O132" s="9"/>
    </row>
    <row r="133" spans="15:15" x14ac:dyDescent="0.3">
      <c r="O133" s="9"/>
    </row>
    <row r="134" spans="15:15" x14ac:dyDescent="0.3">
      <c r="O134" s="9"/>
    </row>
    <row r="135" spans="15:15" x14ac:dyDescent="0.3">
      <c r="O135" s="9"/>
    </row>
    <row r="136" spans="15:15" x14ac:dyDescent="0.3">
      <c r="O136" s="9"/>
    </row>
    <row r="137" spans="15:15" x14ac:dyDescent="0.3">
      <c r="O137" s="9"/>
    </row>
    <row r="138" spans="15:15" x14ac:dyDescent="0.3">
      <c r="O138" s="9"/>
    </row>
    <row r="139" spans="15:15" x14ac:dyDescent="0.3">
      <c r="O139" s="9"/>
    </row>
    <row r="140" spans="15:15" x14ac:dyDescent="0.3">
      <c r="O140" s="9"/>
    </row>
    <row r="141" spans="15:15" x14ac:dyDescent="0.3">
      <c r="O141" s="9"/>
    </row>
    <row r="142" spans="15:15" x14ac:dyDescent="0.3">
      <c r="O142" s="9"/>
    </row>
    <row r="143" spans="15:15" x14ac:dyDescent="0.3">
      <c r="O143" s="9"/>
    </row>
    <row r="144" spans="15:15" x14ac:dyDescent="0.3">
      <c r="O144" s="9"/>
    </row>
    <row r="145" spans="15:15" x14ac:dyDescent="0.3">
      <c r="O145" s="9"/>
    </row>
    <row r="146" spans="15:15" x14ac:dyDescent="0.3">
      <c r="O146" s="9"/>
    </row>
    <row r="147" spans="15:15" x14ac:dyDescent="0.3">
      <c r="O147" s="9"/>
    </row>
    <row r="148" spans="15:15" x14ac:dyDescent="0.3">
      <c r="O148" s="9"/>
    </row>
    <row r="149" spans="15:15" x14ac:dyDescent="0.3">
      <c r="O149" s="9"/>
    </row>
    <row r="150" spans="15:15" x14ac:dyDescent="0.3">
      <c r="O150" s="9"/>
    </row>
    <row r="151" spans="15:15" x14ac:dyDescent="0.3">
      <c r="O151" s="9"/>
    </row>
    <row r="152" spans="15:15" x14ac:dyDescent="0.3">
      <c r="O152" s="9"/>
    </row>
    <row r="153" spans="15:15" x14ac:dyDescent="0.3">
      <c r="O153" s="9"/>
    </row>
    <row r="154" spans="15:15" x14ac:dyDescent="0.3">
      <c r="O154" s="9"/>
    </row>
    <row r="155" spans="15:15" x14ac:dyDescent="0.3">
      <c r="O155" s="9"/>
    </row>
    <row r="156" spans="15:15" x14ac:dyDescent="0.3">
      <c r="O156" s="9"/>
    </row>
    <row r="157" spans="15:15" x14ac:dyDescent="0.3">
      <c r="O157" s="9"/>
    </row>
    <row r="158" spans="15:15" x14ac:dyDescent="0.3">
      <c r="O158" s="9"/>
    </row>
    <row r="159" spans="15:15" x14ac:dyDescent="0.3">
      <c r="O159" s="9"/>
    </row>
    <row r="160" spans="15:15" x14ac:dyDescent="0.3">
      <c r="O160" s="9"/>
    </row>
    <row r="161" spans="15:15" x14ac:dyDescent="0.3">
      <c r="O161" s="9"/>
    </row>
    <row r="162" spans="15:15" x14ac:dyDescent="0.3">
      <c r="O162" s="9"/>
    </row>
    <row r="163" spans="15:15" x14ac:dyDescent="0.3">
      <c r="O163" s="9"/>
    </row>
    <row r="164" spans="15:15" x14ac:dyDescent="0.3">
      <c r="O164" s="9"/>
    </row>
    <row r="165" spans="15:15" x14ac:dyDescent="0.3">
      <c r="O165" s="9"/>
    </row>
    <row r="166" spans="15:15" x14ac:dyDescent="0.3">
      <c r="O166" s="9"/>
    </row>
    <row r="167" spans="15:15" x14ac:dyDescent="0.3">
      <c r="O167" s="9"/>
    </row>
    <row r="168" spans="15:15" x14ac:dyDescent="0.3">
      <c r="O168" s="9"/>
    </row>
    <row r="169" spans="15:15" x14ac:dyDescent="0.3">
      <c r="O169" s="9"/>
    </row>
    <row r="170" spans="15:15" x14ac:dyDescent="0.3">
      <c r="O170" s="9"/>
    </row>
    <row r="171" spans="15:15" x14ac:dyDescent="0.3">
      <c r="O171" s="9"/>
    </row>
    <row r="172" spans="15:15" x14ac:dyDescent="0.3">
      <c r="O172" s="9"/>
    </row>
    <row r="173" spans="15:15" x14ac:dyDescent="0.3">
      <c r="O173" s="9"/>
    </row>
    <row r="174" spans="15:15" x14ac:dyDescent="0.3">
      <c r="O174" s="9"/>
    </row>
    <row r="175" spans="15:15" x14ac:dyDescent="0.3">
      <c r="O175" s="9"/>
    </row>
    <row r="176" spans="15:15" x14ac:dyDescent="0.3">
      <c r="O176" s="9"/>
    </row>
    <row r="177" spans="15:15" x14ac:dyDescent="0.3">
      <c r="O177" s="9"/>
    </row>
    <row r="178" spans="15:15" x14ac:dyDescent="0.3">
      <c r="O178" s="9"/>
    </row>
    <row r="179" spans="15:15" x14ac:dyDescent="0.3">
      <c r="O179" s="9"/>
    </row>
    <row r="180" spans="15:15" x14ac:dyDescent="0.3">
      <c r="O180" s="9"/>
    </row>
    <row r="181" spans="15:15" x14ac:dyDescent="0.3">
      <c r="O181" s="9"/>
    </row>
    <row r="182" spans="15:15" x14ac:dyDescent="0.3">
      <c r="O182" s="9"/>
    </row>
    <row r="183" spans="15:15" x14ac:dyDescent="0.3">
      <c r="O183" s="9"/>
    </row>
    <row r="184" spans="15:15" x14ac:dyDescent="0.3">
      <c r="O184" s="9"/>
    </row>
    <row r="185" spans="15:15" x14ac:dyDescent="0.3">
      <c r="O185" s="9"/>
    </row>
    <row r="186" spans="15:15" x14ac:dyDescent="0.3">
      <c r="O186" s="9"/>
    </row>
    <row r="187" spans="15:15" x14ac:dyDescent="0.3">
      <c r="O187" s="9"/>
    </row>
    <row r="188" spans="15:15" x14ac:dyDescent="0.3">
      <c r="O188" s="9"/>
    </row>
    <row r="189" spans="15:15" x14ac:dyDescent="0.3">
      <c r="O189" s="9"/>
    </row>
    <row r="190" spans="15:15" x14ac:dyDescent="0.3">
      <c r="O190" s="9"/>
    </row>
    <row r="191" spans="15:15" x14ac:dyDescent="0.3">
      <c r="O191" s="9"/>
    </row>
    <row r="192" spans="15:15" x14ac:dyDescent="0.3">
      <c r="O192" s="9"/>
    </row>
    <row r="193" spans="15:15" x14ac:dyDescent="0.3">
      <c r="O193" s="9"/>
    </row>
    <row r="194" spans="15:15" x14ac:dyDescent="0.3">
      <c r="O194" s="9"/>
    </row>
    <row r="195" spans="15:15" x14ac:dyDescent="0.3">
      <c r="O195" s="9"/>
    </row>
    <row r="196" spans="15:15" x14ac:dyDescent="0.3">
      <c r="O196" s="9"/>
    </row>
    <row r="197" spans="15:15" x14ac:dyDescent="0.3">
      <c r="O197" s="9"/>
    </row>
    <row r="198" spans="15:15" x14ac:dyDescent="0.3">
      <c r="O198" s="9"/>
    </row>
    <row r="199" spans="15:15" x14ac:dyDescent="0.3">
      <c r="O199" s="9"/>
    </row>
    <row r="200" spans="15:15" x14ac:dyDescent="0.3">
      <c r="O200" s="9"/>
    </row>
    <row r="201" spans="15:15" x14ac:dyDescent="0.3">
      <c r="O201" s="9"/>
    </row>
    <row r="202" spans="15:15" x14ac:dyDescent="0.3">
      <c r="O202" s="9"/>
    </row>
    <row r="203" spans="15:15" x14ac:dyDescent="0.3">
      <c r="O203" s="9"/>
    </row>
    <row r="204" spans="15:15" x14ac:dyDescent="0.3">
      <c r="O204" s="9"/>
    </row>
    <row r="205" spans="15:15" x14ac:dyDescent="0.3">
      <c r="O205" s="9"/>
    </row>
    <row r="206" spans="15:15" x14ac:dyDescent="0.3">
      <c r="O206" s="9"/>
    </row>
    <row r="207" spans="15:15" x14ac:dyDescent="0.3">
      <c r="O207" s="9"/>
    </row>
    <row r="208" spans="15:15" x14ac:dyDescent="0.3">
      <c r="O208" s="9"/>
    </row>
    <row r="209" spans="15:15" x14ac:dyDescent="0.3">
      <c r="O209" s="9"/>
    </row>
    <row r="210" spans="15:15" x14ac:dyDescent="0.3">
      <c r="O210" s="9"/>
    </row>
    <row r="211" spans="15:15" x14ac:dyDescent="0.3">
      <c r="O211" s="9"/>
    </row>
    <row r="212" spans="15:15" x14ac:dyDescent="0.3">
      <c r="O212" s="9"/>
    </row>
    <row r="213" spans="15:15" x14ac:dyDescent="0.3">
      <c r="O213" s="9"/>
    </row>
    <row r="214" spans="15:15" x14ac:dyDescent="0.3">
      <c r="O214" s="9"/>
    </row>
    <row r="215" spans="15:15" x14ac:dyDescent="0.3">
      <c r="O215" s="9"/>
    </row>
    <row r="216" spans="15:15" x14ac:dyDescent="0.3">
      <c r="O216" s="9"/>
    </row>
    <row r="217" spans="15:15" x14ac:dyDescent="0.3">
      <c r="O217" s="9"/>
    </row>
    <row r="218" spans="15:15" x14ac:dyDescent="0.3">
      <c r="O218" s="9"/>
    </row>
    <row r="219" spans="15:15" x14ac:dyDescent="0.3">
      <c r="O219" s="9"/>
    </row>
    <row r="220" spans="15:15" x14ac:dyDescent="0.3">
      <c r="O220" s="9"/>
    </row>
    <row r="221" spans="15:15" x14ac:dyDescent="0.3">
      <c r="O221" s="9"/>
    </row>
    <row r="222" spans="15:15" x14ac:dyDescent="0.3">
      <c r="O222" s="9"/>
    </row>
    <row r="223" spans="15:15" x14ac:dyDescent="0.3">
      <c r="O223" s="9"/>
    </row>
    <row r="224" spans="15:15" x14ac:dyDescent="0.3">
      <c r="O224" s="9"/>
    </row>
    <row r="225" spans="15:15" x14ac:dyDescent="0.3">
      <c r="O225" s="9"/>
    </row>
    <row r="226" spans="15:15" x14ac:dyDescent="0.3">
      <c r="O226" s="9"/>
    </row>
    <row r="227" spans="15:15" x14ac:dyDescent="0.3">
      <c r="O227" s="9"/>
    </row>
    <row r="228" spans="15:15" x14ac:dyDescent="0.3">
      <c r="O228" s="9"/>
    </row>
    <row r="229" spans="15:15" x14ac:dyDescent="0.3">
      <c r="O229" s="9"/>
    </row>
    <row r="230" spans="15:15" x14ac:dyDescent="0.3">
      <c r="O230" s="9"/>
    </row>
    <row r="231" spans="15:15" x14ac:dyDescent="0.3">
      <c r="O231" s="9"/>
    </row>
    <row r="232" spans="15:15" x14ac:dyDescent="0.3">
      <c r="O232" s="9"/>
    </row>
    <row r="233" spans="15:15" x14ac:dyDescent="0.3">
      <c r="O233" s="9"/>
    </row>
    <row r="234" spans="15:15" x14ac:dyDescent="0.3">
      <c r="O234" s="9"/>
    </row>
    <row r="235" spans="15:15" x14ac:dyDescent="0.3">
      <c r="O235" s="9"/>
    </row>
    <row r="236" spans="15:15" x14ac:dyDescent="0.3">
      <c r="O236" s="9"/>
    </row>
    <row r="237" spans="15:15" x14ac:dyDescent="0.3">
      <c r="O237" s="9"/>
    </row>
    <row r="238" spans="15:15" x14ac:dyDescent="0.3">
      <c r="O238" s="9"/>
    </row>
    <row r="239" spans="15:15" x14ac:dyDescent="0.3">
      <c r="O239" s="9"/>
    </row>
    <row r="240" spans="15:15" x14ac:dyDescent="0.3">
      <c r="O240" s="9"/>
    </row>
    <row r="241" spans="15:15" x14ac:dyDescent="0.3">
      <c r="O241" s="9"/>
    </row>
    <row r="242" spans="15:15" x14ac:dyDescent="0.3">
      <c r="O242" s="9"/>
    </row>
    <row r="243" spans="15:15" x14ac:dyDescent="0.3">
      <c r="O243" s="9"/>
    </row>
    <row r="244" spans="15:15" x14ac:dyDescent="0.3">
      <c r="O244" s="9"/>
    </row>
    <row r="245" spans="15:15" x14ac:dyDescent="0.3">
      <c r="O245" s="9"/>
    </row>
    <row r="246" spans="15:15" x14ac:dyDescent="0.3">
      <c r="O246" s="9"/>
    </row>
    <row r="247" spans="15:15" x14ac:dyDescent="0.3">
      <c r="O247" s="9"/>
    </row>
    <row r="248" spans="15:15" x14ac:dyDescent="0.3">
      <c r="O248" s="9"/>
    </row>
    <row r="249" spans="15:15" x14ac:dyDescent="0.3">
      <c r="O249" s="9"/>
    </row>
    <row r="250" spans="15:15" x14ac:dyDescent="0.3">
      <c r="O250" s="9"/>
    </row>
    <row r="251" spans="15:15" x14ac:dyDescent="0.3">
      <c r="O251" s="9"/>
    </row>
    <row r="252" spans="15:15" x14ac:dyDescent="0.3">
      <c r="O252" s="9"/>
    </row>
    <row r="253" spans="15:15" x14ac:dyDescent="0.3">
      <c r="O253" s="9"/>
    </row>
    <row r="254" spans="15:15" x14ac:dyDescent="0.3">
      <c r="O254" s="9"/>
    </row>
    <row r="255" spans="15:15" x14ac:dyDescent="0.3">
      <c r="O255" s="9"/>
    </row>
    <row r="256" spans="15:15" x14ac:dyDescent="0.3">
      <c r="O256" s="9"/>
    </row>
    <row r="257" spans="15:15" x14ac:dyDescent="0.3">
      <c r="O257" s="9"/>
    </row>
    <row r="258" spans="15:15" x14ac:dyDescent="0.3">
      <c r="O258" s="9"/>
    </row>
    <row r="259" spans="15:15" x14ac:dyDescent="0.3">
      <c r="O259" s="9"/>
    </row>
    <row r="260" spans="15:15" x14ac:dyDescent="0.3">
      <c r="O260" s="9"/>
    </row>
    <row r="261" spans="15:15" x14ac:dyDescent="0.3">
      <c r="O261" s="9"/>
    </row>
    <row r="262" spans="15:15" x14ac:dyDescent="0.3">
      <c r="O262" s="9"/>
    </row>
    <row r="263" spans="15:15" x14ac:dyDescent="0.3">
      <c r="O263" s="9"/>
    </row>
    <row r="264" spans="15:15" x14ac:dyDescent="0.3">
      <c r="O264" s="9"/>
    </row>
    <row r="265" spans="15:15" x14ac:dyDescent="0.3">
      <c r="O265" s="9"/>
    </row>
    <row r="266" spans="15:15" x14ac:dyDescent="0.3">
      <c r="O266" s="9"/>
    </row>
    <row r="267" spans="15:15" x14ac:dyDescent="0.3">
      <c r="O267" s="9"/>
    </row>
    <row r="268" spans="15:15" x14ac:dyDescent="0.3">
      <c r="O268" s="9"/>
    </row>
    <row r="269" spans="15:15" x14ac:dyDescent="0.3">
      <c r="O269" s="9"/>
    </row>
    <row r="270" spans="15:15" x14ac:dyDescent="0.3">
      <c r="O270" s="9"/>
    </row>
    <row r="271" spans="15:15" x14ac:dyDescent="0.3">
      <c r="O271" s="9"/>
    </row>
    <row r="272" spans="15:15" x14ac:dyDescent="0.3">
      <c r="O272" s="9"/>
    </row>
    <row r="273" spans="15:15" x14ac:dyDescent="0.3">
      <c r="O273" s="9"/>
    </row>
    <row r="274" spans="15:15" x14ac:dyDescent="0.3">
      <c r="O274" s="9"/>
    </row>
    <row r="275" spans="15:15" x14ac:dyDescent="0.3">
      <c r="O275" s="9"/>
    </row>
    <row r="276" spans="15:15" x14ac:dyDescent="0.3">
      <c r="O276" s="9"/>
    </row>
    <row r="277" spans="15:15" x14ac:dyDescent="0.3">
      <c r="O277" s="9"/>
    </row>
    <row r="278" spans="15:15" x14ac:dyDescent="0.3">
      <c r="O278" s="9"/>
    </row>
    <row r="279" spans="15:15" x14ac:dyDescent="0.3">
      <c r="O279" s="9"/>
    </row>
    <row r="280" spans="15:15" x14ac:dyDescent="0.3">
      <c r="O280" s="9"/>
    </row>
    <row r="281" spans="15:15" x14ac:dyDescent="0.3">
      <c r="O281" s="9"/>
    </row>
    <row r="282" spans="15:15" x14ac:dyDescent="0.3">
      <c r="O282" s="9"/>
    </row>
    <row r="283" spans="15:15" x14ac:dyDescent="0.3">
      <c r="O283" s="9"/>
    </row>
    <row r="284" spans="15:15" x14ac:dyDescent="0.3">
      <c r="O284" s="9"/>
    </row>
    <row r="285" spans="15:15" x14ac:dyDescent="0.3">
      <c r="O285" s="9"/>
    </row>
    <row r="286" spans="15:15" x14ac:dyDescent="0.3">
      <c r="O286" s="9"/>
    </row>
    <row r="287" spans="15:15" x14ac:dyDescent="0.3">
      <c r="O287" s="9"/>
    </row>
    <row r="288" spans="15:15" x14ac:dyDescent="0.3">
      <c r="O288" s="9"/>
    </row>
    <row r="289" spans="15:15" x14ac:dyDescent="0.3">
      <c r="O289" s="9"/>
    </row>
    <row r="290" spans="15:15" x14ac:dyDescent="0.3">
      <c r="O290" s="9"/>
    </row>
    <row r="291" spans="15:15" x14ac:dyDescent="0.3">
      <c r="O291" s="9"/>
    </row>
    <row r="292" spans="15:15" x14ac:dyDescent="0.3">
      <c r="O292" s="9"/>
    </row>
    <row r="293" spans="15:15" x14ac:dyDescent="0.3">
      <c r="O293" s="9"/>
    </row>
    <row r="294" spans="15:15" x14ac:dyDescent="0.3">
      <c r="O294" s="9"/>
    </row>
    <row r="295" spans="15:15" x14ac:dyDescent="0.3">
      <c r="O295" s="9"/>
    </row>
    <row r="296" spans="15:15" x14ac:dyDescent="0.3">
      <c r="O296" s="9"/>
    </row>
    <row r="297" spans="15:15" x14ac:dyDescent="0.3">
      <c r="O297" s="9"/>
    </row>
    <row r="298" spans="15:15" x14ac:dyDescent="0.3">
      <c r="O298" s="9"/>
    </row>
    <row r="299" spans="15:15" x14ac:dyDescent="0.3">
      <c r="O299" s="9"/>
    </row>
    <row r="300" spans="15:15" x14ac:dyDescent="0.3">
      <c r="O300" s="9"/>
    </row>
    <row r="301" spans="15:15" x14ac:dyDescent="0.3">
      <c r="O301" s="9"/>
    </row>
    <row r="302" spans="15:15" x14ac:dyDescent="0.3">
      <c r="O302" s="9"/>
    </row>
    <row r="303" spans="15:15" x14ac:dyDescent="0.3">
      <c r="O303" s="9"/>
    </row>
    <row r="304" spans="15:15" x14ac:dyDescent="0.3">
      <c r="O304" s="9"/>
    </row>
    <row r="305" spans="15:15" x14ac:dyDescent="0.3">
      <c r="O305" s="9"/>
    </row>
    <row r="306" spans="15:15" x14ac:dyDescent="0.3">
      <c r="O306" s="9"/>
    </row>
    <row r="307" spans="15:15" x14ac:dyDescent="0.3">
      <c r="O307" s="9"/>
    </row>
    <row r="308" spans="15:15" x14ac:dyDescent="0.3">
      <c r="O308" s="9"/>
    </row>
    <row r="309" spans="15:15" x14ac:dyDescent="0.3">
      <c r="O309" s="9"/>
    </row>
    <row r="310" spans="15:15" x14ac:dyDescent="0.3">
      <c r="O310" s="9"/>
    </row>
    <row r="311" spans="15:15" x14ac:dyDescent="0.3">
      <c r="O311" s="9"/>
    </row>
    <row r="312" spans="15:15" x14ac:dyDescent="0.3">
      <c r="O312" s="9"/>
    </row>
    <row r="313" spans="15:15" x14ac:dyDescent="0.3">
      <c r="O313" s="9"/>
    </row>
    <row r="314" spans="15:15" x14ac:dyDescent="0.3">
      <c r="O314" s="9"/>
    </row>
    <row r="315" spans="15:15" x14ac:dyDescent="0.3">
      <c r="O315" s="9"/>
    </row>
    <row r="316" spans="15:15" x14ac:dyDescent="0.3">
      <c r="O316" s="9"/>
    </row>
    <row r="317" spans="15:15" x14ac:dyDescent="0.3">
      <c r="O317" s="9"/>
    </row>
    <row r="318" spans="15:15" x14ac:dyDescent="0.3">
      <c r="O318" s="9"/>
    </row>
    <row r="319" spans="15:15" x14ac:dyDescent="0.3">
      <c r="O319" s="9"/>
    </row>
    <row r="320" spans="15:15" x14ac:dyDescent="0.3">
      <c r="O320" s="9"/>
    </row>
    <row r="321" spans="15:15" x14ac:dyDescent="0.3">
      <c r="O321" s="9"/>
    </row>
    <row r="322" spans="15:15" x14ac:dyDescent="0.3">
      <c r="O322" s="9"/>
    </row>
    <row r="323" spans="15:15" x14ac:dyDescent="0.3">
      <c r="O323" s="9"/>
    </row>
    <row r="324" spans="15:15" x14ac:dyDescent="0.3">
      <c r="O324" s="9"/>
    </row>
    <row r="325" spans="15:15" x14ac:dyDescent="0.3">
      <c r="O325" s="9"/>
    </row>
    <row r="326" spans="15:15" x14ac:dyDescent="0.3">
      <c r="O326" s="9"/>
    </row>
    <row r="327" spans="15:15" x14ac:dyDescent="0.3">
      <c r="O327" s="9"/>
    </row>
    <row r="328" spans="15:15" x14ac:dyDescent="0.3">
      <c r="O328" s="9"/>
    </row>
    <row r="329" spans="15:15" x14ac:dyDescent="0.3">
      <c r="O329" s="9"/>
    </row>
    <row r="330" spans="15:15" x14ac:dyDescent="0.3">
      <c r="O330" s="9"/>
    </row>
    <row r="331" spans="15:15" x14ac:dyDescent="0.3">
      <c r="O331" s="9"/>
    </row>
    <row r="332" spans="15:15" x14ac:dyDescent="0.3">
      <c r="O332" s="9"/>
    </row>
    <row r="333" spans="15:15" x14ac:dyDescent="0.3">
      <c r="O333" s="9"/>
    </row>
    <row r="334" spans="15:15" x14ac:dyDescent="0.3">
      <c r="O334" s="9"/>
    </row>
    <row r="335" spans="15:15" x14ac:dyDescent="0.3">
      <c r="O335" s="9"/>
    </row>
    <row r="336" spans="15:15" x14ac:dyDescent="0.3">
      <c r="O336" s="9"/>
    </row>
    <row r="337" spans="15:15" x14ac:dyDescent="0.3">
      <c r="O337" s="9"/>
    </row>
    <row r="338" spans="15:15" x14ac:dyDescent="0.3">
      <c r="O338" s="9"/>
    </row>
    <row r="339" spans="15:15" x14ac:dyDescent="0.3">
      <c r="O339" s="9"/>
    </row>
    <row r="340" spans="15:15" x14ac:dyDescent="0.3">
      <c r="O340" s="9"/>
    </row>
    <row r="341" spans="15:15" x14ac:dyDescent="0.3">
      <c r="O341" s="9"/>
    </row>
    <row r="342" spans="15:15" x14ac:dyDescent="0.3">
      <c r="O342" s="9"/>
    </row>
    <row r="343" spans="15:15" x14ac:dyDescent="0.3">
      <c r="O343" s="9"/>
    </row>
    <row r="344" spans="15:15" x14ac:dyDescent="0.3">
      <c r="O344" s="9"/>
    </row>
    <row r="345" spans="15:15" x14ac:dyDescent="0.3">
      <c r="O345" s="9"/>
    </row>
    <row r="346" spans="15:15" x14ac:dyDescent="0.3">
      <c r="O346" s="9"/>
    </row>
    <row r="347" spans="15:15" x14ac:dyDescent="0.3">
      <c r="O347" s="9"/>
    </row>
    <row r="348" spans="15:15" x14ac:dyDescent="0.3">
      <c r="O348" s="9"/>
    </row>
    <row r="349" spans="15:15" x14ac:dyDescent="0.3">
      <c r="O349" s="9"/>
    </row>
    <row r="350" spans="15:15" x14ac:dyDescent="0.3">
      <c r="O350" s="9"/>
    </row>
    <row r="351" spans="15:15" x14ac:dyDescent="0.3">
      <c r="O351" s="9"/>
    </row>
    <row r="352" spans="15:15" x14ac:dyDescent="0.3">
      <c r="O352" s="9"/>
    </row>
    <row r="353" spans="15:15" x14ac:dyDescent="0.3">
      <c r="O353" s="9"/>
    </row>
    <row r="354" spans="15:15" x14ac:dyDescent="0.3">
      <c r="O354" s="9"/>
    </row>
    <row r="355" spans="15:15" x14ac:dyDescent="0.3">
      <c r="O355" s="9"/>
    </row>
    <row r="356" spans="15:15" x14ac:dyDescent="0.3">
      <c r="O356" s="9"/>
    </row>
    <row r="357" spans="15:15" x14ac:dyDescent="0.3">
      <c r="O357" s="9"/>
    </row>
    <row r="358" spans="15:15" x14ac:dyDescent="0.3">
      <c r="O358" s="9"/>
    </row>
    <row r="359" spans="15:15" x14ac:dyDescent="0.3">
      <c r="O359" s="9"/>
    </row>
    <row r="360" spans="15:15" x14ac:dyDescent="0.3">
      <c r="O360" s="9"/>
    </row>
    <row r="361" spans="15:15" x14ac:dyDescent="0.3">
      <c r="O361" s="9"/>
    </row>
    <row r="362" spans="15:15" x14ac:dyDescent="0.3">
      <c r="O362" s="9"/>
    </row>
    <row r="363" spans="15:15" x14ac:dyDescent="0.3">
      <c r="O363" s="9"/>
    </row>
    <row r="364" spans="15:15" x14ac:dyDescent="0.3">
      <c r="O364" s="9"/>
    </row>
    <row r="365" spans="15:15" x14ac:dyDescent="0.3">
      <c r="O365" s="9"/>
    </row>
    <row r="366" spans="15:15" x14ac:dyDescent="0.3">
      <c r="O366" s="9"/>
    </row>
    <row r="367" spans="15:15" x14ac:dyDescent="0.3">
      <c r="O367" s="9"/>
    </row>
    <row r="368" spans="15:15" x14ac:dyDescent="0.3">
      <c r="O368" s="9"/>
    </row>
    <row r="369" spans="15:15" x14ac:dyDescent="0.3">
      <c r="O369" s="9"/>
    </row>
    <row r="370" spans="15:15" x14ac:dyDescent="0.3">
      <c r="O370" s="9"/>
    </row>
    <row r="371" spans="15:15" x14ac:dyDescent="0.3">
      <c r="O371" s="9"/>
    </row>
    <row r="372" spans="15:15" x14ac:dyDescent="0.3">
      <c r="O372" s="9"/>
    </row>
    <row r="373" spans="15:15" x14ac:dyDescent="0.3">
      <c r="O373" s="9"/>
    </row>
    <row r="374" spans="15:15" x14ac:dyDescent="0.3">
      <c r="O374" s="9"/>
    </row>
    <row r="375" spans="15:15" x14ac:dyDescent="0.3">
      <c r="O375" s="9"/>
    </row>
    <row r="376" spans="15:15" x14ac:dyDescent="0.3">
      <c r="O376" s="9"/>
    </row>
    <row r="377" spans="15:15" x14ac:dyDescent="0.3">
      <c r="O377" s="9"/>
    </row>
    <row r="378" spans="15:15" x14ac:dyDescent="0.3">
      <c r="O378" s="9"/>
    </row>
    <row r="379" spans="15:15" x14ac:dyDescent="0.3">
      <c r="O379" s="9"/>
    </row>
    <row r="380" spans="15:15" x14ac:dyDescent="0.3">
      <c r="O380" s="9"/>
    </row>
    <row r="381" spans="15:15" x14ac:dyDescent="0.3">
      <c r="O381" s="9"/>
    </row>
    <row r="382" spans="15:15" x14ac:dyDescent="0.3">
      <c r="O382" s="9"/>
    </row>
    <row r="383" spans="15:15" x14ac:dyDescent="0.3">
      <c r="O383" s="9"/>
    </row>
    <row r="384" spans="15:15" x14ac:dyDescent="0.3">
      <c r="O384" s="9"/>
    </row>
    <row r="385" spans="15:15" x14ac:dyDescent="0.3">
      <c r="O385" s="9"/>
    </row>
    <row r="386" spans="15:15" x14ac:dyDescent="0.3">
      <c r="O386" s="9"/>
    </row>
    <row r="387" spans="15:15" x14ac:dyDescent="0.3">
      <c r="O387" s="9"/>
    </row>
    <row r="388" spans="15:15" x14ac:dyDescent="0.3">
      <c r="O388" s="9"/>
    </row>
    <row r="389" spans="15:15" x14ac:dyDescent="0.3">
      <c r="O389" s="9"/>
    </row>
    <row r="390" spans="15:15" x14ac:dyDescent="0.3">
      <c r="O390" s="9"/>
    </row>
    <row r="391" spans="15:15" x14ac:dyDescent="0.3">
      <c r="O391" s="9"/>
    </row>
    <row r="392" spans="15:15" x14ac:dyDescent="0.3">
      <c r="O392" s="9"/>
    </row>
    <row r="393" spans="15:15" x14ac:dyDescent="0.3">
      <c r="O393" s="9"/>
    </row>
    <row r="394" spans="15:15" x14ac:dyDescent="0.3">
      <c r="O394" s="9"/>
    </row>
    <row r="395" spans="15:15" x14ac:dyDescent="0.3">
      <c r="O395" s="9"/>
    </row>
    <row r="396" spans="15:15" x14ac:dyDescent="0.3">
      <c r="O396" s="9"/>
    </row>
    <row r="397" spans="15:15" x14ac:dyDescent="0.3">
      <c r="O397" s="9"/>
    </row>
    <row r="398" spans="15:15" x14ac:dyDescent="0.3">
      <c r="O398" s="9"/>
    </row>
    <row r="399" spans="15:15" x14ac:dyDescent="0.3">
      <c r="O399" s="9"/>
    </row>
    <row r="400" spans="15:15" x14ac:dyDescent="0.3">
      <c r="O400" s="9"/>
    </row>
    <row r="401" spans="15:15" x14ac:dyDescent="0.3">
      <c r="O401" s="9"/>
    </row>
    <row r="402" spans="15:15" x14ac:dyDescent="0.3">
      <c r="O402" s="9"/>
    </row>
    <row r="403" spans="15:15" x14ac:dyDescent="0.3">
      <c r="O403" s="9"/>
    </row>
    <row r="404" spans="15:15" x14ac:dyDescent="0.3">
      <c r="O404" s="9"/>
    </row>
    <row r="405" spans="15:15" x14ac:dyDescent="0.3">
      <c r="O405" s="9"/>
    </row>
    <row r="406" spans="15:15" x14ac:dyDescent="0.3">
      <c r="O406" s="9"/>
    </row>
    <row r="407" spans="15:15" x14ac:dyDescent="0.3">
      <c r="O407" s="9"/>
    </row>
    <row r="408" spans="15:15" x14ac:dyDescent="0.3">
      <c r="O408" s="9"/>
    </row>
    <row r="409" spans="15:15" x14ac:dyDescent="0.3">
      <c r="O409" s="9"/>
    </row>
    <row r="410" spans="15:15" x14ac:dyDescent="0.3">
      <c r="O410" s="9"/>
    </row>
    <row r="411" spans="15:15" x14ac:dyDescent="0.3">
      <c r="O411" s="9"/>
    </row>
    <row r="412" spans="15:15" x14ac:dyDescent="0.3">
      <c r="O412" s="9"/>
    </row>
    <row r="413" spans="15:15" x14ac:dyDescent="0.3">
      <c r="O413" s="9"/>
    </row>
    <row r="414" spans="15:15" x14ac:dyDescent="0.3">
      <c r="O414" s="9"/>
    </row>
    <row r="415" spans="15:15" x14ac:dyDescent="0.3">
      <c r="O415" s="9"/>
    </row>
    <row r="416" spans="15:15" x14ac:dyDescent="0.3">
      <c r="O416" s="9"/>
    </row>
    <row r="417" spans="15:15" x14ac:dyDescent="0.3">
      <c r="O417" s="9"/>
    </row>
    <row r="418" spans="15:15" x14ac:dyDescent="0.3">
      <c r="O418" s="9"/>
    </row>
    <row r="419" spans="15:15" x14ac:dyDescent="0.3">
      <c r="O419" s="9"/>
    </row>
    <row r="420" spans="15:15" x14ac:dyDescent="0.3">
      <c r="O420" s="9"/>
    </row>
    <row r="421" spans="15:15" x14ac:dyDescent="0.3">
      <c r="O421" s="9"/>
    </row>
    <row r="422" spans="15:15" x14ac:dyDescent="0.3">
      <c r="O422" s="9"/>
    </row>
    <row r="423" spans="15:15" x14ac:dyDescent="0.3">
      <c r="O423" s="9"/>
    </row>
    <row r="424" spans="15:15" x14ac:dyDescent="0.3">
      <c r="O424" s="9"/>
    </row>
    <row r="425" spans="15:15" x14ac:dyDescent="0.3">
      <c r="O425" s="9"/>
    </row>
    <row r="426" spans="15:15" x14ac:dyDescent="0.3">
      <c r="O426" s="9"/>
    </row>
    <row r="427" spans="15:15" x14ac:dyDescent="0.3">
      <c r="O427" s="9"/>
    </row>
    <row r="428" spans="15:15" x14ac:dyDescent="0.3">
      <c r="O428" s="9"/>
    </row>
    <row r="429" spans="15:15" x14ac:dyDescent="0.3">
      <c r="O429" s="9"/>
    </row>
    <row r="430" spans="15:15" x14ac:dyDescent="0.3">
      <c r="O430" s="9"/>
    </row>
    <row r="431" spans="15:15" x14ac:dyDescent="0.3">
      <c r="O431" s="9"/>
    </row>
    <row r="432" spans="15:15" x14ac:dyDescent="0.3">
      <c r="O432" s="9"/>
    </row>
    <row r="433" spans="15:15" x14ac:dyDescent="0.3">
      <c r="O433" s="9"/>
    </row>
    <row r="434" spans="15:15" x14ac:dyDescent="0.3">
      <c r="O434" s="9"/>
    </row>
    <row r="435" spans="15:15" x14ac:dyDescent="0.3">
      <c r="O435" s="9"/>
    </row>
    <row r="436" spans="15:15" x14ac:dyDescent="0.3">
      <c r="O436" s="9"/>
    </row>
    <row r="437" spans="15:15" x14ac:dyDescent="0.3">
      <c r="O437" s="9"/>
    </row>
    <row r="438" spans="15:15" x14ac:dyDescent="0.3">
      <c r="O438" s="9"/>
    </row>
    <row r="439" spans="15:15" x14ac:dyDescent="0.3">
      <c r="O439" s="9"/>
    </row>
    <row r="440" spans="15:15" x14ac:dyDescent="0.3">
      <c r="O440" s="9"/>
    </row>
    <row r="441" spans="15:15" x14ac:dyDescent="0.3">
      <c r="O441" s="9"/>
    </row>
    <row r="442" spans="15:15" x14ac:dyDescent="0.3">
      <c r="O442" s="9"/>
    </row>
    <row r="443" spans="15:15" x14ac:dyDescent="0.3">
      <c r="O443" s="9"/>
    </row>
    <row r="444" spans="15:15" x14ac:dyDescent="0.3">
      <c r="O444" s="9"/>
    </row>
    <row r="445" spans="15:15" x14ac:dyDescent="0.3">
      <c r="O445" s="9"/>
    </row>
    <row r="446" spans="15:15" x14ac:dyDescent="0.3">
      <c r="O446" s="9"/>
    </row>
    <row r="447" spans="15:15" x14ac:dyDescent="0.3">
      <c r="O447" s="9"/>
    </row>
    <row r="448" spans="15:15" x14ac:dyDescent="0.3">
      <c r="O448" s="9"/>
    </row>
    <row r="449" spans="15:15" x14ac:dyDescent="0.3">
      <c r="O449" s="9"/>
    </row>
    <row r="450" spans="15:15" x14ac:dyDescent="0.3">
      <c r="O450" s="9"/>
    </row>
    <row r="451" spans="15:15" x14ac:dyDescent="0.3">
      <c r="O451" s="9"/>
    </row>
    <row r="452" spans="15:15" x14ac:dyDescent="0.3">
      <c r="O452" s="9"/>
    </row>
    <row r="453" spans="15:15" x14ac:dyDescent="0.3">
      <c r="O453" s="9"/>
    </row>
    <row r="454" spans="15:15" x14ac:dyDescent="0.3">
      <c r="O454" s="9"/>
    </row>
    <row r="455" spans="15:15" x14ac:dyDescent="0.3">
      <c r="O455" s="9"/>
    </row>
    <row r="456" spans="15:15" x14ac:dyDescent="0.3">
      <c r="O456" s="9"/>
    </row>
    <row r="457" spans="15:15" x14ac:dyDescent="0.3">
      <c r="O457" s="9"/>
    </row>
    <row r="458" spans="15:15" x14ac:dyDescent="0.3">
      <c r="O458" s="9"/>
    </row>
    <row r="459" spans="15:15" x14ac:dyDescent="0.3">
      <c r="O459" s="9"/>
    </row>
    <row r="460" spans="15:15" x14ac:dyDescent="0.3">
      <c r="O460" s="9"/>
    </row>
    <row r="461" spans="15:15" x14ac:dyDescent="0.3">
      <c r="O461" s="9"/>
    </row>
    <row r="462" spans="15:15" x14ac:dyDescent="0.3">
      <c r="O462" s="9"/>
    </row>
    <row r="463" spans="15:15" x14ac:dyDescent="0.3">
      <c r="O463" s="9"/>
    </row>
    <row r="464" spans="15:15" x14ac:dyDescent="0.3">
      <c r="O464" s="9"/>
    </row>
    <row r="465" spans="15:15" x14ac:dyDescent="0.3">
      <c r="O465" s="9"/>
    </row>
    <row r="466" spans="15:15" x14ac:dyDescent="0.3">
      <c r="O466" s="9"/>
    </row>
    <row r="467" spans="15:15" x14ac:dyDescent="0.3">
      <c r="O467" s="9"/>
    </row>
    <row r="468" spans="15:15" x14ac:dyDescent="0.3">
      <c r="O468" s="9"/>
    </row>
    <row r="469" spans="15:15" x14ac:dyDescent="0.3">
      <c r="O469" s="9"/>
    </row>
    <row r="470" spans="15:15" x14ac:dyDescent="0.3">
      <c r="O470" s="9"/>
    </row>
    <row r="471" spans="15:15" x14ac:dyDescent="0.3">
      <c r="O471" s="9"/>
    </row>
    <row r="472" spans="15:15" x14ac:dyDescent="0.3">
      <c r="O472" s="9"/>
    </row>
    <row r="473" spans="15:15" x14ac:dyDescent="0.3">
      <c r="O473" s="9"/>
    </row>
    <row r="474" spans="15:15" x14ac:dyDescent="0.3">
      <c r="O474" s="9"/>
    </row>
    <row r="475" spans="15:15" x14ac:dyDescent="0.3">
      <c r="O475" s="9"/>
    </row>
    <row r="476" spans="15:15" x14ac:dyDescent="0.3">
      <c r="O476" s="9"/>
    </row>
    <row r="477" spans="15:15" x14ac:dyDescent="0.3">
      <c r="O477" s="9"/>
    </row>
    <row r="478" spans="15:15" x14ac:dyDescent="0.3">
      <c r="O478" s="9"/>
    </row>
    <row r="479" spans="15:15" x14ac:dyDescent="0.3">
      <c r="O479" s="9"/>
    </row>
    <row r="480" spans="15:15" x14ac:dyDescent="0.3">
      <c r="O480" s="9"/>
    </row>
    <row r="481" spans="15:15" x14ac:dyDescent="0.3">
      <c r="O481" s="9"/>
    </row>
    <row r="482" spans="15:15" x14ac:dyDescent="0.3">
      <c r="O482" s="9"/>
    </row>
    <row r="483" spans="15:15" x14ac:dyDescent="0.3">
      <c r="O483" s="9"/>
    </row>
    <row r="484" spans="15:15" x14ac:dyDescent="0.3">
      <c r="O484" s="9"/>
    </row>
    <row r="485" spans="15:15" x14ac:dyDescent="0.3">
      <c r="O485" s="9"/>
    </row>
    <row r="486" spans="15:15" x14ac:dyDescent="0.3">
      <c r="O486" s="9"/>
    </row>
    <row r="487" spans="15:15" x14ac:dyDescent="0.3">
      <c r="O487" s="9"/>
    </row>
    <row r="488" spans="15:15" x14ac:dyDescent="0.3">
      <c r="O488" s="9"/>
    </row>
    <row r="489" spans="15:15" x14ac:dyDescent="0.3">
      <c r="O489" s="9"/>
    </row>
    <row r="490" spans="15:15" x14ac:dyDescent="0.3">
      <c r="O490" s="9"/>
    </row>
    <row r="491" spans="15:15" x14ac:dyDescent="0.3">
      <c r="O491" s="9"/>
    </row>
    <row r="492" spans="15:15" x14ac:dyDescent="0.3">
      <c r="O492" s="9"/>
    </row>
    <row r="493" spans="15:15" x14ac:dyDescent="0.3">
      <c r="O493" s="9"/>
    </row>
    <row r="494" spans="15:15" x14ac:dyDescent="0.3">
      <c r="O494" s="9"/>
    </row>
    <row r="495" spans="15:15" x14ac:dyDescent="0.3">
      <c r="O495" s="9"/>
    </row>
    <row r="496" spans="15:15" x14ac:dyDescent="0.3">
      <c r="O496" s="9"/>
    </row>
    <row r="497" spans="15:15" x14ac:dyDescent="0.3">
      <c r="O497" s="9"/>
    </row>
    <row r="498" spans="15:15" x14ac:dyDescent="0.3">
      <c r="O498" s="9"/>
    </row>
    <row r="499" spans="15:15" x14ac:dyDescent="0.3">
      <c r="O499" s="9"/>
    </row>
    <row r="500" spans="15:15" x14ac:dyDescent="0.3">
      <c r="O500" s="9"/>
    </row>
    <row r="501" spans="15:15" x14ac:dyDescent="0.3">
      <c r="O501" s="9"/>
    </row>
    <row r="502" spans="15:15" x14ac:dyDescent="0.3">
      <c r="O502" s="9"/>
    </row>
    <row r="503" spans="15:15" x14ac:dyDescent="0.3">
      <c r="O503" s="9"/>
    </row>
    <row r="504" spans="15:15" x14ac:dyDescent="0.3">
      <c r="O504" s="9"/>
    </row>
    <row r="505" spans="15:15" x14ac:dyDescent="0.3">
      <c r="O505" s="9"/>
    </row>
    <row r="506" spans="15:15" x14ac:dyDescent="0.3">
      <c r="O506" s="9"/>
    </row>
    <row r="507" spans="15:15" x14ac:dyDescent="0.3">
      <c r="O507" s="9"/>
    </row>
    <row r="508" spans="15:15" x14ac:dyDescent="0.3">
      <c r="O508" s="9"/>
    </row>
    <row r="509" spans="15:15" x14ac:dyDescent="0.3">
      <c r="O509" s="9"/>
    </row>
    <row r="510" spans="15:15" x14ac:dyDescent="0.3">
      <c r="O510" s="9"/>
    </row>
    <row r="511" spans="15:15" x14ac:dyDescent="0.3">
      <c r="O511" s="9"/>
    </row>
    <row r="512" spans="15:15" x14ac:dyDescent="0.3">
      <c r="O512" s="9"/>
    </row>
    <row r="513" spans="15:15" x14ac:dyDescent="0.3">
      <c r="O513" s="9"/>
    </row>
    <row r="514" spans="15:15" x14ac:dyDescent="0.3">
      <c r="O514" s="9"/>
    </row>
    <row r="515" spans="15:15" x14ac:dyDescent="0.3">
      <c r="O515" s="9"/>
    </row>
    <row r="516" spans="15:15" x14ac:dyDescent="0.3">
      <c r="O516" s="9"/>
    </row>
    <row r="517" spans="15:15" x14ac:dyDescent="0.3">
      <c r="O517" s="9"/>
    </row>
    <row r="518" spans="15:15" x14ac:dyDescent="0.3">
      <c r="O518" s="9"/>
    </row>
    <row r="519" spans="15:15" x14ac:dyDescent="0.3">
      <c r="O519" s="9"/>
    </row>
    <row r="520" spans="15:15" x14ac:dyDescent="0.3">
      <c r="O520" s="9"/>
    </row>
    <row r="521" spans="15:15" x14ac:dyDescent="0.3">
      <c r="O521" s="9"/>
    </row>
    <row r="522" spans="15:15" x14ac:dyDescent="0.3">
      <c r="O522" s="9"/>
    </row>
    <row r="523" spans="15:15" x14ac:dyDescent="0.3">
      <c r="O523" s="9"/>
    </row>
    <row r="524" spans="15:15" x14ac:dyDescent="0.3">
      <c r="O524" s="9"/>
    </row>
    <row r="525" spans="15:15" x14ac:dyDescent="0.3">
      <c r="O525" s="9"/>
    </row>
    <row r="526" spans="15:15" x14ac:dyDescent="0.3">
      <c r="O526" s="9"/>
    </row>
    <row r="527" spans="15:15" x14ac:dyDescent="0.3">
      <c r="O527" s="9"/>
    </row>
    <row r="528" spans="15:15" x14ac:dyDescent="0.3">
      <c r="O528" s="9"/>
    </row>
    <row r="529" spans="15:15" x14ac:dyDescent="0.3">
      <c r="O529" s="9"/>
    </row>
    <row r="530" spans="15:15" x14ac:dyDescent="0.3">
      <c r="O530" s="9"/>
    </row>
    <row r="531" spans="15:15" x14ac:dyDescent="0.3">
      <c r="O531" s="9"/>
    </row>
    <row r="532" spans="15:15" x14ac:dyDescent="0.3">
      <c r="O532" s="9"/>
    </row>
    <row r="533" spans="15:15" x14ac:dyDescent="0.3">
      <c r="O533" s="9"/>
    </row>
    <row r="534" spans="15:15" x14ac:dyDescent="0.3">
      <c r="O534" s="9"/>
    </row>
    <row r="535" spans="15:15" x14ac:dyDescent="0.3">
      <c r="O535" s="9"/>
    </row>
    <row r="536" spans="15:15" x14ac:dyDescent="0.3">
      <c r="O536" s="9"/>
    </row>
    <row r="537" spans="15:15" x14ac:dyDescent="0.3">
      <c r="O537" s="9"/>
    </row>
    <row r="538" spans="15:15" x14ac:dyDescent="0.3">
      <c r="O538" s="9"/>
    </row>
    <row r="539" spans="15:15" x14ac:dyDescent="0.3">
      <c r="O539" s="9"/>
    </row>
    <row r="540" spans="15:15" x14ac:dyDescent="0.3">
      <c r="O540" s="9"/>
    </row>
    <row r="541" spans="15:15" x14ac:dyDescent="0.3">
      <c r="O541" s="9"/>
    </row>
    <row r="542" spans="15:15" x14ac:dyDescent="0.3">
      <c r="O542" s="9"/>
    </row>
    <row r="543" spans="15:15" x14ac:dyDescent="0.3">
      <c r="O543" s="9"/>
    </row>
    <row r="544" spans="15:15" x14ac:dyDescent="0.3">
      <c r="O544" s="9"/>
    </row>
    <row r="545" spans="15:15" x14ac:dyDescent="0.3">
      <c r="O545" s="9"/>
    </row>
    <row r="546" spans="15:15" x14ac:dyDescent="0.3">
      <c r="O546" s="9"/>
    </row>
    <row r="547" spans="15:15" x14ac:dyDescent="0.3">
      <c r="O547" s="9"/>
    </row>
    <row r="548" spans="15:15" x14ac:dyDescent="0.3">
      <c r="O548" s="9"/>
    </row>
    <row r="549" spans="15:15" x14ac:dyDescent="0.3">
      <c r="O549" s="9"/>
    </row>
    <row r="550" spans="15:15" x14ac:dyDescent="0.3">
      <c r="O550" s="9"/>
    </row>
    <row r="551" spans="15:15" x14ac:dyDescent="0.3">
      <c r="O551" s="9"/>
    </row>
    <row r="552" spans="15:15" x14ac:dyDescent="0.3">
      <c r="O552" s="9"/>
    </row>
    <row r="553" spans="15:15" x14ac:dyDescent="0.3">
      <c r="O553" s="9"/>
    </row>
    <row r="554" spans="15:15" x14ac:dyDescent="0.3">
      <c r="O554" s="9"/>
    </row>
    <row r="555" spans="15:15" x14ac:dyDescent="0.3">
      <c r="O555" s="9"/>
    </row>
    <row r="556" spans="15:15" x14ac:dyDescent="0.3">
      <c r="O556" s="9"/>
    </row>
    <row r="557" spans="15:15" x14ac:dyDescent="0.3">
      <c r="O557" s="9"/>
    </row>
    <row r="558" spans="15:15" x14ac:dyDescent="0.3">
      <c r="O558" s="9"/>
    </row>
    <row r="559" spans="15:15" x14ac:dyDescent="0.3">
      <c r="O559" s="9"/>
    </row>
    <row r="560" spans="15:15" x14ac:dyDescent="0.3">
      <c r="O560" s="9"/>
    </row>
    <row r="561" spans="15:15" x14ac:dyDescent="0.3">
      <c r="O561" s="9"/>
    </row>
    <row r="562" spans="15:15" x14ac:dyDescent="0.3">
      <c r="O562" s="9"/>
    </row>
    <row r="563" spans="15:15" x14ac:dyDescent="0.3">
      <c r="O563" s="9"/>
    </row>
    <row r="564" spans="15:15" x14ac:dyDescent="0.3">
      <c r="O564" s="9"/>
    </row>
    <row r="565" spans="15:15" x14ac:dyDescent="0.3">
      <c r="O565" s="9"/>
    </row>
    <row r="566" spans="15:15" x14ac:dyDescent="0.3">
      <c r="O566" s="9"/>
    </row>
    <row r="567" spans="15:15" x14ac:dyDescent="0.3">
      <c r="O567" s="9"/>
    </row>
    <row r="568" spans="15:15" x14ac:dyDescent="0.3">
      <c r="O568" s="9"/>
    </row>
    <row r="569" spans="15:15" x14ac:dyDescent="0.3">
      <c r="O569" s="9"/>
    </row>
    <row r="570" spans="15:15" x14ac:dyDescent="0.3">
      <c r="O570" s="9"/>
    </row>
    <row r="571" spans="15:15" x14ac:dyDescent="0.3">
      <c r="O571" s="9"/>
    </row>
    <row r="572" spans="15:15" x14ac:dyDescent="0.3">
      <c r="O572" s="9"/>
    </row>
    <row r="573" spans="15:15" x14ac:dyDescent="0.3">
      <c r="O573" s="9"/>
    </row>
    <row r="574" spans="15:15" x14ac:dyDescent="0.3">
      <c r="O574" s="9"/>
    </row>
    <row r="575" spans="15:15" x14ac:dyDescent="0.3">
      <c r="O575" s="9"/>
    </row>
    <row r="576" spans="15:15" x14ac:dyDescent="0.3">
      <c r="O576" s="9"/>
    </row>
    <row r="577" spans="15:15" x14ac:dyDescent="0.3">
      <c r="O577" s="9"/>
    </row>
    <row r="578" spans="15:15" x14ac:dyDescent="0.3">
      <c r="O578" s="9"/>
    </row>
    <row r="579" spans="15:15" x14ac:dyDescent="0.3">
      <c r="O579" s="9"/>
    </row>
    <row r="580" spans="15:15" x14ac:dyDescent="0.3">
      <c r="O580" s="9"/>
    </row>
    <row r="581" spans="15:15" x14ac:dyDescent="0.3">
      <c r="O581" s="9"/>
    </row>
    <row r="582" spans="15:15" x14ac:dyDescent="0.3">
      <c r="O582" s="9"/>
    </row>
    <row r="583" spans="15:15" x14ac:dyDescent="0.3">
      <c r="O583" s="9"/>
    </row>
    <row r="584" spans="15:15" x14ac:dyDescent="0.3">
      <c r="O584" s="9"/>
    </row>
    <row r="585" spans="15:15" x14ac:dyDescent="0.3">
      <c r="O585" s="9"/>
    </row>
    <row r="586" spans="15:15" x14ac:dyDescent="0.3">
      <c r="O586" s="9"/>
    </row>
    <row r="587" spans="15:15" x14ac:dyDescent="0.3">
      <c r="O587" s="9"/>
    </row>
    <row r="588" spans="15:15" x14ac:dyDescent="0.3">
      <c r="O588" s="9"/>
    </row>
    <row r="589" spans="15:15" x14ac:dyDescent="0.3">
      <c r="O589" s="9"/>
    </row>
    <row r="590" spans="15:15" x14ac:dyDescent="0.3">
      <c r="O590" s="9"/>
    </row>
    <row r="591" spans="15:15" x14ac:dyDescent="0.3">
      <c r="O591" s="9"/>
    </row>
    <row r="592" spans="15:15" x14ac:dyDescent="0.3">
      <c r="O592" s="9"/>
    </row>
    <row r="593" spans="15:15" x14ac:dyDescent="0.3">
      <c r="O593" s="9"/>
    </row>
    <row r="594" spans="15:15" x14ac:dyDescent="0.3">
      <c r="O594" s="9"/>
    </row>
    <row r="595" spans="15:15" x14ac:dyDescent="0.3">
      <c r="O595" s="9"/>
    </row>
    <row r="596" spans="15:15" x14ac:dyDescent="0.3">
      <c r="O596" s="9"/>
    </row>
    <row r="597" spans="15:15" x14ac:dyDescent="0.3">
      <c r="O597" s="9"/>
    </row>
    <row r="598" spans="15:15" x14ac:dyDescent="0.3">
      <c r="O598" s="9"/>
    </row>
    <row r="599" spans="15:15" x14ac:dyDescent="0.3">
      <c r="O599" s="9"/>
    </row>
    <row r="600" spans="15:15" x14ac:dyDescent="0.3">
      <c r="O600" s="9"/>
    </row>
    <row r="601" spans="15:15" x14ac:dyDescent="0.3">
      <c r="O601" s="9"/>
    </row>
    <row r="602" spans="15:15" x14ac:dyDescent="0.3">
      <c r="O602" s="9"/>
    </row>
    <row r="603" spans="15:15" x14ac:dyDescent="0.3">
      <c r="O603" s="9"/>
    </row>
    <row r="604" spans="15:15" x14ac:dyDescent="0.3">
      <c r="O604" s="9"/>
    </row>
    <row r="605" spans="15:15" x14ac:dyDescent="0.3">
      <c r="O605" s="9"/>
    </row>
    <row r="606" spans="15:15" x14ac:dyDescent="0.3">
      <c r="O606" s="9"/>
    </row>
    <row r="607" spans="15:15" x14ac:dyDescent="0.3">
      <c r="O607" s="9"/>
    </row>
    <row r="608" spans="15:15" x14ac:dyDescent="0.3">
      <c r="O608" s="9"/>
    </row>
    <row r="609" spans="15:15" x14ac:dyDescent="0.3">
      <c r="O609" s="9"/>
    </row>
    <row r="610" spans="15:15" x14ac:dyDescent="0.3">
      <c r="O610" s="9"/>
    </row>
    <row r="611" spans="15:15" x14ac:dyDescent="0.3">
      <c r="O611" s="9"/>
    </row>
    <row r="612" spans="15:15" x14ac:dyDescent="0.3">
      <c r="O612" s="9"/>
    </row>
    <row r="613" spans="15:15" x14ac:dyDescent="0.3">
      <c r="O613" s="9"/>
    </row>
    <row r="614" spans="15:15" x14ac:dyDescent="0.3">
      <c r="O614" s="9"/>
    </row>
    <row r="615" spans="15:15" x14ac:dyDescent="0.3">
      <c r="O615" s="9"/>
    </row>
    <row r="616" spans="15:15" x14ac:dyDescent="0.3">
      <c r="O616" s="9"/>
    </row>
    <row r="617" spans="15:15" x14ac:dyDescent="0.3">
      <c r="O617" s="9"/>
    </row>
    <row r="618" spans="15:15" x14ac:dyDescent="0.3">
      <c r="O618" s="9"/>
    </row>
    <row r="619" spans="15:15" x14ac:dyDescent="0.3">
      <c r="O619" s="9"/>
    </row>
    <row r="620" spans="15:15" x14ac:dyDescent="0.3">
      <c r="O620" s="9"/>
    </row>
    <row r="621" spans="15:15" x14ac:dyDescent="0.3">
      <c r="O621" s="9"/>
    </row>
    <row r="622" spans="15:15" x14ac:dyDescent="0.3">
      <c r="O622" s="9"/>
    </row>
    <row r="623" spans="15:15" x14ac:dyDescent="0.3">
      <c r="O623" s="9"/>
    </row>
    <row r="624" spans="15:15" x14ac:dyDescent="0.3">
      <c r="O624" s="9"/>
    </row>
    <row r="625" spans="15:15" x14ac:dyDescent="0.3">
      <c r="O625" s="9"/>
    </row>
    <row r="626" spans="15:15" x14ac:dyDescent="0.3">
      <c r="O626" s="9"/>
    </row>
    <row r="627" spans="15:15" x14ac:dyDescent="0.3">
      <c r="O627" s="9"/>
    </row>
    <row r="628" spans="15:15" x14ac:dyDescent="0.3">
      <c r="O628" s="9"/>
    </row>
    <row r="629" spans="15:15" x14ac:dyDescent="0.3">
      <c r="O629" s="9"/>
    </row>
    <row r="630" spans="15:15" x14ac:dyDescent="0.3">
      <c r="O630" s="9"/>
    </row>
    <row r="631" spans="15:15" x14ac:dyDescent="0.3">
      <c r="O631" s="9"/>
    </row>
    <row r="632" spans="15:15" x14ac:dyDescent="0.3">
      <c r="O632" s="9"/>
    </row>
    <row r="633" spans="15:15" x14ac:dyDescent="0.3">
      <c r="O633" s="9"/>
    </row>
    <row r="634" spans="15:15" x14ac:dyDescent="0.3">
      <c r="O634" s="9"/>
    </row>
    <row r="635" spans="15:15" x14ac:dyDescent="0.3">
      <c r="O635" s="9"/>
    </row>
    <row r="636" spans="15:15" x14ac:dyDescent="0.3">
      <c r="O636" s="9"/>
    </row>
    <row r="637" spans="15:15" x14ac:dyDescent="0.3">
      <c r="O637" s="9"/>
    </row>
    <row r="638" spans="15:15" x14ac:dyDescent="0.3">
      <c r="O638" s="9"/>
    </row>
    <row r="639" spans="15:15" x14ac:dyDescent="0.3">
      <c r="O639" s="9"/>
    </row>
    <row r="640" spans="15:15" x14ac:dyDescent="0.3">
      <c r="O640" s="9"/>
    </row>
    <row r="641" spans="15:15" x14ac:dyDescent="0.3">
      <c r="O641" s="9"/>
    </row>
    <row r="642" spans="15:15" x14ac:dyDescent="0.3">
      <c r="O642" s="9"/>
    </row>
    <row r="643" spans="15:15" x14ac:dyDescent="0.3">
      <c r="O643" s="9"/>
    </row>
    <row r="644" spans="15:15" x14ac:dyDescent="0.3">
      <c r="O644" s="9"/>
    </row>
    <row r="645" spans="15:15" x14ac:dyDescent="0.3">
      <c r="O645" s="9"/>
    </row>
    <row r="646" spans="15:15" x14ac:dyDescent="0.3">
      <c r="O646" s="9"/>
    </row>
    <row r="647" spans="15:15" x14ac:dyDescent="0.3">
      <c r="O647" s="9"/>
    </row>
    <row r="648" spans="15:15" x14ac:dyDescent="0.3">
      <c r="O648" s="9"/>
    </row>
    <row r="649" spans="15:15" x14ac:dyDescent="0.3">
      <c r="O649" s="9"/>
    </row>
    <row r="650" spans="15:15" x14ac:dyDescent="0.3">
      <c r="O650" s="9"/>
    </row>
    <row r="651" spans="15:15" x14ac:dyDescent="0.3">
      <c r="O651" s="9"/>
    </row>
    <row r="652" spans="15:15" x14ac:dyDescent="0.3">
      <c r="O652" s="9"/>
    </row>
    <row r="653" spans="15:15" x14ac:dyDescent="0.3">
      <c r="O653" s="9"/>
    </row>
    <row r="654" spans="15:15" x14ac:dyDescent="0.3">
      <c r="O654" s="9"/>
    </row>
    <row r="655" spans="15:15" x14ac:dyDescent="0.3">
      <c r="O655" s="9"/>
    </row>
    <row r="656" spans="15:15" x14ac:dyDescent="0.3">
      <c r="O656" s="9"/>
    </row>
    <row r="657" spans="15:15" x14ac:dyDescent="0.3">
      <c r="O657" s="9"/>
    </row>
    <row r="658" spans="15:15" x14ac:dyDescent="0.3">
      <c r="O658" s="9"/>
    </row>
    <row r="659" spans="15:15" x14ac:dyDescent="0.3">
      <c r="O659" s="9"/>
    </row>
    <row r="660" spans="15:15" x14ac:dyDescent="0.3">
      <c r="O660" s="9"/>
    </row>
    <row r="661" spans="15:15" x14ac:dyDescent="0.3">
      <c r="O661" s="9"/>
    </row>
    <row r="662" spans="15:15" x14ac:dyDescent="0.3">
      <c r="O662" s="9"/>
    </row>
    <row r="663" spans="15:15" x14ac:dyDescent="0.3">
      <c r="O663" s="9"/>
    </row>
    <row r="664" spans="15:15" x14ac:dyDescent="0.3">
      <c r="O664" s="9"/>
    </row>
    <row r="665" spans="15:15" x14ac:dyDescent="0.3">
      <c r="O665" s="9"/>
    </row>
    <row r="666" spans="15:15" x14ac:dyDescent="0.3">
      <c r="O666" s="9"/>
    </row>
    <row r="667" spans="15:15" x14ac:dyDescent="0.3">
      <c r="O667" s="9"/>
    </row>
    <row r="668" spans="15:15" x14ac:dyDescent="0.3">
      <c r="O668" s="9"/>
    </row>
    <row r="669" spans="15:15" x14ac:dyDescent="0.3">
      <c r="O669" s="9"/>
    </row>
    <row r="670" spans="15:15" x14ac:dyDescent="0.3">
      <c r="O670" s="9"/>
    </row>
    <row r="671" spans="15:15" x14ac:dyDescent="0.3">
      <c r="O671" s="9"/>
    </row>
    <row r="672" spans="15:15" x14ac:dyDescent="0.3">
      <c r="O672" s="9"/>
    </row>
    <row r="673" spans="15:15" x14ac:dyDescent="0.3">
      <c r="O673" s="9"/>
    </row>
    <row r="674" spans="15:15" x14ac:dyDescent="0.3">
      <c r="O674" s="9"/>
    </row>
    <row r="675" spans="15:15" x14ac:dyDescent="0.3">
      <c r="O675" s="9"/>
    </row>
    <row r="676" spans="15:15" x14ac:dyDescent="0.3">
      <c r="O676" s="9"/>
    </row>
    <row r="677" spans="15:15" x14ac:dyDescent="0.3">
      <c r="O677" s="9"/>
    </row>
    <row r="678" spans="15:15" x14ac:dyDescent="0.3">
      <c r="O678" s="9"/>
    </row>
    <row r="679" spans="15:15" x14ac:dyDescent="0.3">
      <c r="O679" s="9"/>
    </row>
    <row r="680" spans="15:15" x14ac:dyDescent="0.3">
      <c r="O680" s="9"/>
    </row>
    <row r="681" spans="15:15" x14ac:dyDescent="0.3">
      <c r="O681" s="9"/>
    </row>
    <row r="682" spans="15:15" x14ac:dyDescent="0.3">
      <c r="O682" s="9"/>
    </row>
    <row r="683" spans="15:15" x14ac:dyDescent="0.3">
      <c r="O683" s="9"/>
    </row>
    <row r="684" spans="15:15" x14ac:dyDescent="0.3">
      <c r="O684" s="9"/>
    </row>
    <row r="685" spans="15:15" x14ac:dyDescent="0.3">
      <c r="O685" s="9"/>
    </row>
    <row r="686" spans="15:15" x14ac:dyDescent="0.3">
      <c r="O686" s="9"/>
    </row>
    <row r="687" spans="15:15" x14ac:dyDescent="0.3">
      <c r="O687" s="9"/>
    </row>
    <row r="688" spans="15:15" x14ac:dyDescent="0.3">
      <c r="O688" s="9"/>
    </row>
    <row r="689" spans="15:15" x14ac:dyDescent="0.3">
      <c r="O689" s="9"/>
    </row>
    <row r="690" spans="15:15" x14ac:dyDescent="0.3">
      <c r="O690" s="9"/>
    </row>
    <row r="691" spans="15:15" x14ac:dyDescent="0.3">
      <c r="O691" s="9"/>
    </row>
    <row r="692" spans="15:15" x14ac:dyDescent="0.3">
      <c r="O692" s="9"/>
    </row>
    <row r="693" spans="15:15" x14ac:dyDescent="0.3">
      <c r="O693" s="9"/>
    </row>
    <row r="694" spans="15:15" x14ac:dyDescent="0.3">
      <c r="O694" s="9"/>
    </row>
    <row r="695" spans="15:15" x14ac:dyDescent="0.3">
      <c r="O695" s="9"/>
    </row>
    <row r="696" spans="15:15" x14ac:dyDescent="0.3">
      <c r="O696" s="9"/>
    </row>
    <row r="697" spans="15:15" x14ac:dyDescent="0.3">
      <c r="O697" s="9"/>
    </row>
    <row r="698" spans="15:15" x14ac:dyDescent="0.3">
      <c r="O698" s="9"/>
    </row>
    <row r="699" spans="15:15" x14ac:dyDescent="0.3">
      <c r="O699" s="9"/>
    </row>
    <row r="700" spans="15:15" x14ac:dyDescent="0.3">
      <c r="O700" s="9"/>
    </row>
    <row r="701" spans="15:15" x14ac:dyDescent="0.3">
      <c r="O701" s="9"/>
    </row>
    <row r="702" spans="15:15" x14ac:dyDescent="0.3">
      <c r="O702" s="9"/>
    </row>
    <row r="703" spans="15:15" x14ac:dyDescent="0.3">
      <c r="O703" s="9"/>
    </row>
    <row r="704" spans="15:15" x14ac:dyDescent="0.3">
      <c r="O704" s="9"/>
    </row>
    <row r="705" spans="15:15" x14ac:dyDescent="0.3">
      <c r="O705" s="9"/>
    </row>
    <row r="706" spans="15:15" x14ac:dyDescent="0.3">
      <c r="O706" s="9"/>
    </row>
    <row r="707" spans="15:15" x14ac:dyDescent="0.3">
      <c r="O707" s="9"/>
    </row>
    <row r="708" spans="15:15" x14ac:dyDescent="0.3">
      <c r="O708" s="9"/>
    </row>
    <row r="709" spans="15:15" x14ac:dyDescent="0.3">
      <c r="O709" s="9"/>
    </row>
    <row r="710" spans="15:15" x14ac:dyDescent="0.3">
      <c r="O710" s="9"/>
    </row>
    <row r="711" spans="15:15" x14ac:dyDescent="0.3">
      <c r="O711" s="9"/>
    </row>
    <row r="712" spans="15:15" x14ac:dyDescent="0.3">
      <c r="O712" s="9"/>
    </row>
    <row r="713" spans="15:15" x14ac:dyDescent="0.3">
      <c r="O713" s="9"/>
    </row>
    <row r="714" spans="15:15" x14ac:dyDescent="0.3">
      <c r="O714" s="9"/>
    </row>
    <row r="715" spans="15:15" x14ac:dyDescent="0.3">
      <c r="O715" s="9"/>
    </row>
    <row r="716" spans="15:15" x14ac:dyDescent="0.3">
      <c r="O716" s="9"/>
    </row>
    <row r="717" spans="15:15" x14ac:dyDescent="0.3">
      <c r="O717" s="9"/>
    </row>
    <row r="718" spans="15:15" x14ac:dyDescent="0.3">
      <c r="O718" s="9"/>
    </row>
    <row r="719" spans="15:15" x14ac:dyDescent="0.3">
      <c r="O719" s="9"/>
    </row>
    <row r="720" spans="15:15" x14ac:dyDescent="0.3">
      <c r="O720" s="9"/>
    </row>
    <row r="721" spans="15:15" x14ac:dyDescent="0.3">
      <c r="O721" s="9"/>
    </row>
    <row r="722" spans="15:15" x14ac:dyDescent="0.3">
      <c r="O722" s="9"/>
    </row>
    <row r="723" spans="15:15" x14ac:dyDescent="0.3">
      <c r="O723" s="9"/>
    </row>
    <row r="724" spans="15:15" x14ac:dyDescent="0.3">
      <c r="O724" s="9"/>
    </row>
    <row r="725" spans="15:15" x14ac:dyDescent="0.3">
      <c r="O725" s="9"/>
    </row>
    <row r="726" spans="15:15" x14ac:dyDescent="0.3">
      <c r="O726" s="9"/>
    </row>
    <row r="727" spans="15:15" x14ac:dyDescent="0.3">
      <c r="O727" s="9"/>
    </row>
    <row r="728" spans="15:15" x14ac:dyDescent="0.3">
      <c r="O728" s="9"/>
    </row>
    <row r="729" spans="15:15" x14ac:dyDescent="0.3">
      <c r="O729" s="9"/>
    </row>
    <row r="730" spans="15:15" x14ac:dyDescent="0.3">
      <c r="O730" s="9"/>
    </row>
    <row r="731" spans="15:15" x14ac:dyDescent="0.3">
      <c r="O731" s="9"/>
    </row>
    <row r="732" spans="15:15" x14ac:dyDescent="0.3">
      <c r="O732" s="9"/>
    </row>
    <row r="733" spans="15:15" x14ac:dyDescent="0.3">
      <c r="O733" s="9"/>
    </row>
    <row r="734" spans="15:15" x14ac:dyDescent="0.3">
      <c r="O734" s="9"/>
    </row>
    <row r="735" spans="15:15" x14ac:dyDescent="0.3">
      <c r="O735" s="9"/>
    </row>
    <row r="736" spans="15:15" x14ac:dyDescent="0.3">
      <c r="O736" s="9"/>
    </row>
    <row r="737" spans="15:15" x14ac:dyDescent="0.3">
      <c r="O737" s="9"/>
    </row>
    <row r="738" spans="15:15" x14ac:dyDescent="0.3">
      <c r="O738" s="9"/>
    </row>
    <row r="739" spans="15:15" x14ac:dyDescent="0.3">
      <c r="O739" s="9"/>
    </row>
    <row r="740" spans="15:15" x14ac:dyDescent="0.3">
      <c r="O740" s="9"/>
    </row>
    <row r="741" spans="15:15" x14ac:dyDescent="0.3">
      <c r="O741" s="9"/>
    </row>
    <row r="742" spans="15:15" x14ac:dyDescent="0.3">
      <c r="O742" s="9"/>
    </row>
    <row r="743" spans="15:15" x14ac:dyDescent="0.3">
      <c r="O743" s="9"/>
    </row>
    <row r="744" spans="15:15" x14ac:dyDescent="0.3">
      <c r="O744" s="9"/>
    </row>
    <row r="745" spans="15:15" x14ac:dyDescent="0.3">
      <c r="O745" s="9"/>
    </row>
    <row r="746" spans="15:15" x14ac:dyDescent="0.3">
      <c r="O746" s="9"/>
    </row>
    <row r="747" spans="15:15" x14ac:dyDescent="0.3">
      <c r="O747" s="9"/>
    </row>
    <row r="748" spans="15:15" x14ac:dyDescent="0.3">
      <c r="O748" s="9"/>
    </row>
    <row r="749" spans="15:15" x14ac:dyDescent="0.3">
      <c r="O749" s="9"/>
    </row>
    <row r="750" spans="15:15" x14ac:dyDescent="0.3">
      <c r="O750" s="9"/>
    </row>
    <row r="751" spans="15:15" x14ac:dyDescent="0.3">
      <c r="O751" s="9"/>
    </row>
    <row r="752" spans="15:15" x14ac:dyDescent="0.3">
      <c r="O752" s="9"/>
    </row>
    <row r="753" spans="15:15" x14ac:dyDescent="0.3">
      <c r="O753" s="9"/>
    </row>
    <row r="754" spans="15:15" x14ac:dyDescent="0.3">
      <c r="O754" s="9"/>
    </row>
    <row r="755" spans="15:15" x14ac:dyDescent="0.3">
      <c r="O755" s="9"/>
    </row>
    <row r="756" spans="15:15" x14ac:dyDescent="0.3">
      <c r="O756" s="9"/>
    </row>
    <row r="757" spans="15:15" x14ac:dyDescent="0.3">
      <c r="O757" s="9"/>
    </row>
    <row r="758" spans="15:15" x14ac:dyDescent="0.3">
      <c r="O758" s="9"/>
    </row>
    <row r="759" spans="15:15" x14ac:dyDescent="0.3">
      <c r="O759" s="9"/>
    </row>
    <row r="760" spans="15:15" x14ac:dyDescent="0.3">
      <c r="O760" s="9"/>
    </row>
    <row r="761" spans="15:15" x14ac:dyDescent="0.3">
      <c r="O761" s="9"/>
    </row>
    <row r="762" spans="15:15" x14ac:dyDescent="0.3">
      <c r="O762" s="9"/>
    </row>
    <row r="763" spans="15:15" x14ac:dyDescent="0.3">
      <c r="O763" s="9"/>
    </row>
    <row r="764" spans="15:15" x14ac:dyDescent="0.3">
      <c r="O764" s="9"/>
    </row>
    <row r="765" spans="15:15" x14ac:dyDescent="0.3">
      <c r="O765" s="9"/>
    </row>
    <row r="766" spans="15:15" x14ac:dyDescent="0.3">
      <c r="O766" s="9"/>
    </row>
    <row r="767" spans="15:15" x14ac:dyDescent="0.3">
      <c r="O767" s="9"/>
    </row>
    <row r="768" spans="15:15" x14ac:dyDescent="0.3">
      <c r="O768" s="9"/>
    </row>
    <row r="769" spans="15:15" x14ac:dyDescent="0.3">
      <c r="O769" s="9"/>
    </row>
    <row r="770" spans="15:15" x14ac:dyDescent="0.3">
      <c r="O770" s="9"/>
    </row>
    <row r="771" spans="15:15" x14ac:dyDescent="0.3">
      <c r="O771" s="9"/>
    </row>
    <row r="772" spans="15:15" x14ac:dyDescent="0.3">
      <c r="O772" s="9"/>
    </row>
    <row r="773" spans="15:15" x14ac:dyDescent="0.3">
      <c r="O773" s="9"/>
    </row>
    <row r="774" spans="15:15" x14ac:dyDescent="0.3">
      <c r="O774" s="9"/>
    </row>
    <row r="775" spans="15:15" x14ac:dyDescent="0.3">
      <c r="O775" s="9"/>
    </row>
    <row r="776" spans="15:15" x14ac:dyDescent="0.3">
      <c r="O776" s="9"/>
    </row>
    <row r="777" spans="15:15" x14ac:dyDescent="0.3">
      <c r="O777" s="9"/>
    </row>
    <row r="778" spans="15:15" x14ac:dyDescent="0.3">
      <c r="O778" s="9"/>
    </row>
    <row r="779" spans="15:15" x14ac:dyDescent="0.3">
      <c r="O779" s="9"/>
    </row>
    <row r="780" spans="15:15" x14ac:dyDescent="0.3">
      <c r="O780" s="9"/>
    </row>
    <row r="781" spans="15:15" x14ac:dyDescent="0.3">
      <c r="O781" s="9"/>
    </row>
    <row r="782" spans="15:15" x14ac:dyDescent="0.3">
      <c r="O782" s="9"/>
    </row>
    <row r="783" spans="15:15" x14ac:dyDescent="0.3">
      <c r="O783" s="9"/>
    </row>
    <row r="784" spans="15:15" x14ac:dyDescent="0.3">
      <c r="O784" s="9"/>
    </row>
    <row r="785" spans="15:15" x14ac:dyDescent="0.3">
      <c r="O785" s="9"/>
    </row>
    <row r="786" spans="15:15" x14ac:dyDescent="0.3">
      <c r="O786" s="9"/>
    </row>
    <row r="787" spans="15:15" x14ac:dyDescent="0.3">
      <c r="O787" s="9"/>
    </row>
    <row r="788" spans="15:15" x14ac:dyDescent="0.3">
      <c r="O788" s="9"/>
    </row>
    <row r="789" spans="15:15" x14ac:dyDescent="0.3">
      <c r="O789" s="9"/>
    </row>
    <row r="790" spans="15:15" x14ac:dyDescent="0.3">
      <c r="O790" s="9"/>
    </row>
    <row r="791" spans="15:15" x14ac:dyDescent="0.3">
      <c r="O791" s="9"/>
    </row>
    <row r="792" spans="15:15" x14ac:dyDescent="0.3">
      <c r="O792" s="9"/>
    </row>
    <row r="793" spans="15:15" x14ac:dyDescent="0.3">
      <c r="O793" s="9"/>
    </row>
    <row r="794" spans="15:15" x14ac:dyDescent="0.3">
      <c r="O794" s="9"/>
    </row>
    <row r="795" spans="15:15" x14ac:dyDescent="0.3">
      <c r="O795" s="9"/>
    </row>
    <row r="796" spans="15:15" x14ac:dyDescent="0.3">
      <c r="O796" s="9"/>
    </row>
    <row r="797" spans="15:15" x14ac:dyDescent="0.3">
      <c r="O797" s="9"/>
    </row>
    <row r="798" spans="15:15" x14ac:dyDescent="0.3">
      <c r="O798" s="9"/>
    </row>
    <row r="799" spans="15:15" x14ac:dyDescent="0.3">
      <c r="O799" s="9"/>
    </row>
    <row r="800" spans="15:15" x14ac:dyDescent="0.3">
      <c r="O800" s="9"/>
    </row>
    <row r="801" spans="15:15" x14ac:dyDescent="0.3">
      <c r="O801" s="9"/>
    </row>
    <row r="802" spans="15:15" x14ac:dyDescent="0.3">
      <c r="O802" s="9"/>
    </row>
    <row r="803" spans="15:15" x14ac:dyDescent="0.3">
      <c r="O803" s="9"/>
    </row>
    <row r="804" spans="15:15" x14ac:dyDescent="0.3">
      <c r="O804" s="9"/>
    </row>
    <row r="805" spans="15:15" x14ac:dyDescent="0.3">
      <c r="O805" s="9"/>
    </row>
    <row r="806" spans="15:15" x14ac:dyDescent="0.3">
      <c r="O806" s="9"/>
    </row>
    <row r="807" spans="15:15" x14ac:dyDescent="0.3">
      <c r="O807" s="9"/>
    </row>
    <row r="808" spans="15:15" x14ac:dyDescent="0.3">
      <c r="O808" s="9"/>
    </row>
    <row r="809" spans="15:15" x14ac:dyDescent="0.3">
      <c r="O809" s="9"/>
    </row>
    <row r="810" spans="15:15" x14ac:dyDescent="0.3">
      <c r="O810" s="9"/>
    </row>
    <row r="811" spans="15:15" x14ac:dyDescent="0.3">
      <c r="O811" s="9"/>
    </row>
    <row r="812" spans="15:15" x14ac:dyDescent="0.3">
      <c r="O812" s="9"/>
    </row>
    <row r="813" spans="15:15" x14ac:dyDescent="0.3">
      <c r="O813" s="9"/>
    </row>
    <row r="814" spans="15:15" x14ac:dyDescent="0.3">
      <c r="O814" s="9"/>
    </row>
    <row r="815" spans="15:15" x14ac:dyDescent="0.3">
      <c r="O815" s="9"/>
    </row>
    <row r="816" spans="15:15" x14ac:dyDescent="0.3">
      <c r="O816" s="9"/>
    </row>
    <row r="817" spans="15:15" x14ac:dyDescent="0.3">
      <c r="O817" s="9"/>
    </row>
    <row r="818" spans="15:15" x14ac:dyDescent="0.3">
      <c r="O818" s="9"/>
    </row>
    <row r="819" spans="15:15" x14ac:dyDescent="0.3">
      <c r="O819" s="9"/>
    </row>
    <row r="820" spans="15:15" x14ac:dyDescent="0.3">
      <c r="O820" s="9"/>
    </row>
    <row r="821" spans="15:15" x14ac:dyDescent="0.3">
      <c r="O821" s="9"/>
    </row>
    <row r="822" spans="15:15" x14ac:dyDescent="0.3">
      <c r="O822" s="9"/>
    </row>
    <row r="823" spans="15:15" x14ac:dyDescent="0.3">
      <c r="O823" s="9"/>
    </row>
    <row r="824" spans="15:15" x14ac:dyDescent="0.3">
      <c r="O824" s="9"/>
    </row>
    <row r="825" spans="15:15" x14ac:dyDescent="0.3">
      <c r="O825" s="9"/>
    </row>
    <row r="826" spans="15:15" x14ac:dyDescent="0.3">
      <c r="O826" s="9"/>
    </row>
    <row r="827" spans="15:15" x14ac:dyDescent="0.3">
      <c r="O827" s="9"/>
    </row>
    <row r="828" spans="15:15" x14ac:dyDescent="0.3">
      <c r="O828" s="9"/>
    </row>
    <row r="829" spans="15:15" x14ac:dyDescent="0.3">
      <c r="O829" s="9"/>
    </row>
    <row r="830" spans="15:15" x14ac:dyDescent="0.3">
      <c r="O830" s="9"/>
    </row>
    <row r="831" spans="15:15" x14ac:dyDescent="0.3">
      <c r="O831" s="9"/>
    </row>
    <row r="832" spans="15:15" x14ac:dyDescent="0.3">
      <c r="O832" s="9"/>
    </row>
    <row r="833" spans="15:15" x14ac:dyDescent="0.3">
      <c r="O833" s="9"/>
    </row>
    <row r="834" spans="15:15" x14ac:dyDescent="0.3">
      <c r="O834" s="9"/>
    </row>
    <row r="835" spans="15:15" x14ac:dyDescent="0.3">
      <c r="O835" s="9"/>
    </row>
    <row r="836" spans="15:15" x14ac:dyDescent="0.3">
      <c r="O836" s="9"/>
    </row>
    <row r="837" spans="15:15" x14ac:dyDescent="0.3">
      <c r="O837" s="9"/>
    </row>
    <row r="838" spans="15:15" x14ac:dyDescent="0.3">
      <c r="O838" s="9"/>
    </row>
    <row r="839" spans="15:15" x14ac:dyDescent="0.3">
      <c r="O839" s="9"/>
    </row>
    <row r="840" spans="15:15" x14ac:dyDescent="0.3">
      <c r="O840" s="9"/>
    </row>
    <row r="841" spans="15:15" x14ac:dyDescent="0.3">
      <c r="O841" s="9"/>
    </row>
    <row r="842" spans="15:15" x14ac:dyDescent="0.3">
      <c r="O842" s="9"/>
    </row>
    <row r="843" spans="15:15" x14ac:dyDescent="0.3">
      <c r="O843" s="9"/>
    </row>
    <row r="844" spans="15:15" x14ac:dyDescent="0.3">
      <c r="O844" s="9"/>
    </row>
    <row r="845" spans="15:15" x14ac:dyDescent="0.3">
      <c r="O845" s="9"/>
    </row>
    <row r="846" spans="15:15" x14ac:dyDescent="0.3">
      <c r="O846" s="9"/>
    </row>
    <row r="847" spans="15:15" x14ac:dyDescent="0.3">
      <c r="O847" s="9"/>
    </row>
    <row r="848" spans="15:15" x14ac:dyDescent="0.3">
      <c r="O848" s="9"/>
    </row>
    <row r="849" spans="15:15" x14ac:dyDescent="0.3">
      <c r="O849" s="9"/>
    </row>
    <row r="850" spans="15:15" x14ac:dyDescent="0.3">
      <c r="O850" s="9"/>
    </row>
    <row r="851" spans="15:15" x14ac:dyDescent="0.3">
      <c r="O851" s="9"/>
    </row>
    <row r="852" spans="15:15" x14ac:dyDescent="0.3">
      <c r="O852" s="9"/>
    </row>
    <row r="853" spans="15:15" x14ac:dyDescent="0.3">
      <c r="O853" s="9"/>
    </row>
    <row r="854" spans="15:15" x14ac:dyDescent="0.3">
      <c r="O854" s="9"/>
    </row>
    <row r="855" spans="15:15" x14ac:dyDescent="0.3">
      <c r="O855" s="9"/>
    </row>
    <row r="856" spans="15:15" x14ac:dyDescent="0.3">
      <c r="O856" s="9"/>
    </row>
    <row r="857" spans="15:15" x14ac:dyDescent="0.3">
      <c r="O857" s="9"/>
    </row>
    <row r="858" spans="15:15" x14ac:dyDescent="0.3">
      <c r="O858" s="9"/>
    </row>
    <row r="859" spans="15:15" x14ac:dyDescent="0.3">
      <c r="O859" s="9"/>
    </row>
    <row r="860" spans="15:15" x14ac:dyDescent="0.3">
      <c r="O860" s="9"/>
    </row>
    <row r="861" spans="15:15" x14ac:dyDescent="0.3">
      <c r="O861" s="9"/>
    </row>
    <row r="862" spans="15:15" x14ac:dyDescent="0.3">
      <c r="O862" s="9"/>
    </row>
    <row r="863" spans="15:15" x14ac:dyDescent="0.3">
      <c r="O863" s="9"/>
    </row>
    <row r="864" spans="15:15" x14ac:dyDescent="0.3">
      <c r="O864" s="9"/>
    </row>
    <row r="865" spans="15:15" x14ac:dyDescent="0.3">
      <c r="O865" s="9"/>
    </row>
    <row r="866" spans="15:15" x14ac:dyDescent="0.3">
      <c r="O866" s="9"/>
    </row>
    <row r="867" spans="15:15" x14ac:dyDescent="0.3">
      <c r="O867" s="9"/>
    </row>
    <row r="868" spans="15:15" x14ac:dyDescent="0.3">
      <c r="O868" s="9"/>
    </row>
    <row r="869" spans="15:15" x14ac:dyDescent="0.3">
      <c r="O869" s="9"/>
    </row>
    <row r="870" spans="15:15" x14ac:dyDescent="0.3">
      <c r="O870" s="9"/>
    </row>
    <row r="871" spans="15:15" x14ac:dyDescent="0.3">
      <c r="O871" s="9"/>
    </row>
    <row r="872" spans="15:15" x14ac:dyDescent="0.3">
      <c r="O872" s="9"/>
    </row>
    <row r="873" spans="15:15" x14ac:dyDescent="0.3">
      <c r="O873" s="9"/>
    </row>
    <row r="874" spans="15:15" x14ac:dyDescent="0.3">
      <c r="O874" s="9"/>
    </row>
    <row r="875" spans="15:15" x14ac:dyDescent="0.3">
      <c r="O875" s="9"/>
    </row>
    <row r="876" spans="15:15" x14ac:dyDescent="0.3">
      <c r="O876" s="9"/>
    </row>
    <row r="877" spans="15:15" x14ac:dyDescent="0.3">
      <c r="O877" s="9"/>
    </row>
    <row r="878" spans="15:15" x14ac:dyDescent="0.3">
      <c r="O878" s="9"/>
    </row>
    <row r="879" spans="15:15" x14ac:dyDescent="0.3">
      <c r="O879" s="9"/>
    </row>
    <row r="880" spans="15:15" x14ac:dyDescent="0.3">
      <c r="O880" s="9"/>
    </row>
    <row r="881" spans="15:15" x14ac:dyDescent="0.3">
      <c r="O881" s="9"/>
    </row>
    <row r="882" spans="15:15" x14ac:dyDescent="0.3">
      <c r="O882" s="9"/>
    </row>
    <row r="883" spans="15:15" x14ac:dyDescent="0.3">
      <c r="O883" s="9"/>
    </row>
    <row r="884" spans="15:15" x14ac:dyDescent="0.3">
      <c r="O884" s="9"/>
    </row>
    <row r="885" spans="15:15" x14ac:dyDescent="0.3">
      <c r="O885" s="9"/>
    </row>
    <row r="886" spans="15:15" x14ac:dyDescent="0.3">
      <c r="O886" s="9"/>
    </row>
    <row r="887" spans="15:15" x14ac:dyDescent="0.3">
      <c r="O887" s="9"/>
    </row>
    <row r="888" spans="15:15" x14ac:dyDescent="0.3">
      <c r="O888" s="9"/>
    </row>
    <row r="889" spans="15:15" x14ac:dyDescent="0.3">
      <c r="O889" s="9"/>
    </row>
    <row r="890" spans="15:15" x14ac:dyDescent="0.3">
      <c r="O890" s="9"/>
    </row>
    <row r="891" spans="15:15" x14ac:dyDescent="0.3">
      <c r="O891" s="9"/>
    </row>
    <row r="892" spans="15:15" x14ac:dyDescent="0.3">
      <c r="O892" s="9"/>
    </row>
    <row r="893" spans="15:15" x14ac:dyDescent="0.3">
      <c r="O893" s="9"/>
    </row>
    <row r="894" spans="15:15" x14ac:dyDescent="0.3">
      <c r="O894" s="9"/>
    </row>
    <row r="895" spans="15:15" x14ac:dyDescent="0.3">
      <c r="O895" s="9"/>
    </row>
    <row r="896" spans="15:15" x14ac:dyDescent="0.3">
      <c r="O896" s="9"/>
    </row>
    <row r="897" spans="15:15" x14ac:dyDescent="0.3">
      <c r="O897" s="9"/>
    </row>
    <row r="898" spans="15:15" x14ac:dyDescent="0.3">
      <c r="O898" s="9"/>
    </row>
    <row r="899" spans="15:15" x14ac:dyDescent="0.3">
      <c r="O899" s="9"/>
    </row>
    <row r="900" spans="15:15" x14ac:dyDescent="0.3">
      <c r="O900" s="9"/>
    </row>
    <row r="901" spans="15:15" x14ac:dyDescent="0.3">
      <c r="O901" s="9"/>
    </row>
    <row r="902" spans="15:15" x14ac:dyDescent="0.3">
      <c r="O902" s="9"/>
    </row>
    <row r="903" spans="15:15" x14ac:dyDescent="0.3">
      <c r="O903" s="9"/>
    </row>
    <row r="904" spans="15:15" x14ac:dyDescent="0.3">
      <c r="O904" s="9"/>
    </row>
    <row r="905" spans="15:15" x14ac:dyDescent="0.3">
      <c r="O905" s="9"/>
    </row>
    <row r="906" spans="15:15" x14ac:dyDescent="0.3">
      <c r="O906" s="9"/>
    </row>
    <row r="907" spans="15:15" x14ac:dyDescent="0.3">
      <c r="O907" s="9"/>
    </row>
    <row r="908" spans="15:15" x14ac:dyDescent="0.3">
      <c r="O908" s="9"/>
    </row>
    <row r="909" spans="15:15" x14ac:dyDescent="0.3">
      <c r="O909" s="9"/>
    </row>
    <row r="910" spans="15:15" x14ac:dyDescent="0.3">
      <c r="O910" s="9"/>
    </row>
    <row r="911" spans="15:15" x14ac:dyDescent="0.3">
      <c r="O911" s="9"/>
    </row>
    <row r="912" spans="15:15" x14ac:dyDescent="0.3">
      <c r="O912" s="9"/>
    </row>
    <row r="913" spans="15:15" x14ac:dyDescent="0.3">
      <c r="O913" s="9"/>
    </row>
    <row r="914" spans="15:15" x14ac:dyDescent="0.3">
      <c r="O914" s="9"/>
    </row>
    <row r="915" spans="15:15" x14ac:dyDescent="0.3">
      <c r="O915" s="9"/>
    </row>
    <row r="916" spans="15:15" x14ac:dyDescent="0.3">
      <c r="O916" s="9"/>
    </row>
    <row r="917" spans="15:15" x14ac:dyDescent="0.3">
      <c r="O917" s="9"/>
    </row>
    <row r="918" spans="15:15" x14ac:dyDescent="0.3">
      <c r="O918" s="9"/>
    </row>
    <row r="919" spans="15:15" x14ac:dyDescent="0.3">
      <c r="O919" s="9"/>
    </row>
    <row r="920" spans="15:15" x14ac:dyDescent="0.3">
      <c r="O920" s="9"/>
    </row>
    <row r="921" spans="15:15" x14ac:dyDescent="0.3">
      <c r="O921" s="9"/>
    </row>
    <row r="922" spans="15:15" x14ac:dyDescent="0.3">
      <c r="O922" s="9"/>
    </row>
    <row r="923" spans="15:15" x14ac:dyDescent="0.3">
      <c r="O923" s="9"/>
    </row>
    <row r="924" spans="15:15" x14ac:dyDescent="0.3">
      <c r="O924" s="9"/>
    </row>
    <row r="925" spans="15:15" x14ac:dyDescent="0.3">
      <c r="O925" s="9"/>
    </row>
    <row r="926" spans="15:15" x14ac:dyDescent="0.3">
      <c r="O926" s="9"/>
    </row>
    <row r="927" spans="15:15" x14ac:dyDescent="0.3">
      <c r="O927" s="9"/>
    </row>
    <row r="928" spans="15:15" x14ac:dyDescent="0.3">
      <c r="O928" s="9"/>
    </row>
    <row r="929" spans="15:15" x14ac:dyDescent="0.3">
      <c r="O929" s="9"/>
    </row>
    <row r="930" spans="15:15" x14ac:dyDescent="0.3">
      <c r="O930" s="9"/>
    </row>
    <row r="931" spans="15:15" x14ac:dyDescent="0.3">
      <c r="O931" s="9"/>
    </row>
    <row r="932" spans="15:15" x14ac:dyDescent="0.3">
      <c r="O932" s="9"/>
    </row>
    <row r="933" spans="15:15" x14ac:dyDescent="0.3">
      <c r="O933" s="9"/>
    </row>
    <row r="934" spans="15:15" x14ac:dyDescent="0.3">
      <c r="O934" s="9"/>
    </row>
    <row r="935" spans="15:15" x14ac:dyDescent="0.3">
      <c r="O935" s="9"/>
    </row>
    <row r="936" spans="15:15" x14ac:dyDescent="0.3">
      <c r="O936" s="9"/>
    </row>
    <row r="937" spans="15:15" x14ac:dyDescent="0.3">
      <c r="O937" s="9"/>
    </row>
    <row r="938" spans="15:15" x14ac:dyDescent="0.3">
      <c r="O938" s="9"/>
    </row>
    <row r="939" spans="15:15" x14ac:dyDescent="0.3">
      <c r="O939" s="9"/>
    </row>
    <row r="940" spans="15:15" x14ac:dyDescent="0.3">
      <c r="O940" s="9"/>
    </row>
    <row r="941" spans="15:15" x14ac:dyDescent="0.3">
      <c r="O941" s="9"/>
    </row>
    <row r="942" spans="15:15" x14ac:dyDescent="0.3">
      <c r="O942" s="9"/>
    </row>
    <row r="943" spans="15:15" x14ac:dyDescent="0.3">
      <c r="O943" s="9"/>
    </row>
    <row r="944" spans="15:15" x14ac:dyDescent="0.3">
      <c r="O944" s="9"/>
    </row>
    <row r="945" spans="15:15" x14ac:dyDescent="0.3">
      <c r="O945" s="9"/>
    </row>
    <row r="946" spans="15:15" x14ac:dyDescent="0.3">
      <c r="O946" s="9"/>
    </row>
    <row r="947" spans="15:15" x14ac:dyDescent="0.3">
      <c r="O947" s="9"/>
    </row>
    <row r="948" spans="15:15" x14ac:dyDescent="0.3">
      <c r="O948" s="9"/>
    </row>
    <row r="949" spans="15:15" x14ac:dyDescent="0.3">
      <c r="O949" s="9"/>
    </row>
    <row r="950" spans="15:15" x14ac:dyDescent="0.3">
      <c r="O950" s="9"/>
    </row>
    <row r="951" spans="15:15" x14ac:dyDescent="0.3">
      <c r="O951" s="9"/>
    </row>
    <row r="952" spans="15:15" x14ac:dyDescent="0.3">
      <c r="O952" s="9"/>
    </row>
    <row r="953" spans="15:15" x14ac:dyDescent="0.3">
      <c r="O953" s="9"/>
    </row>
    <row r="954" spans="15:15" x14ac:dyDescent="0.3">
      <c r="O954" s="9"/>
    </row>
    <row r="955" spans="15:15" x14ac:dyDescent="0.3">
      <c r="O955" s="9"/>
    </row>
    <row r="956" spans="15:15" x14ac:dyDescent="0.3">
      <c r="O956" s="9"/>
    </row>
    <row r="957" spans="15:15" x14ac:dyDescent="0.3">
      <c r="O957" s="9"/>
    </row>
    <row r="958" spans="15:15" x14ac:dyDescent="0.3">
      <c r="O958" s="9"/>
    </row>
    <row r="959" spans="15:15" x14ac:dyDescent="0.3">
      <c r="O959" s="9"/>
    </row>
    <row r="960" spans="15:15" x14ac:dyDescent="0.3">
      <c r="O960" s="9"/>
    </row>
    <row r="961" spans="15:15" x14ac:dyDescent="0.3">
      <c r="O961" s="9"/>
    </row>
    <row r="962" spans="15:15" x14ac:dyDescent="0.3">
      <c r="O962" s="9"/>
    </row>
  </sheetData>
  <conditionalFormatting sqref="H1:H1048576">
    <cfRule type="containsText" dxfId="0" priority="1" operator="containsText" text="PAGO">
      <formula>NOT(ISERROR(SEARCH("PAGO",H1)))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colBreaks count="1" manualBreakCount="1">
    <brk id="1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8</vt:i4>
      </vt:variant>
    </vt:vector>
  </HeadingPairs>
  <TitlesOfParts>
    <vt:vector size="18" baseType="lpstr">
      <vt:lpstr>Controle</vt:lpstr>
      <vt:lpstr>fluxo caixa dez 2025</vt:lpstr>
      <vt:lpstr>Fluxo de caixa</vt:lpstr>
      <vt:lpstr>fluxo caixa jan 2026</vt:lpstr>
      <vt:lpstr>fluxo caixa fev 2026</vt:lpstr>
      <vt:lpstr>fluxo caixa mar 2026</vt:lpstr>
      <vt:lpstr>fluxo caixa abr 2026 </vt:lpstr>
      <vt:lpstr>fluxo caixa maio 2026 </vt:lpstr>
      <vt:lpstr>Planilha1</vt:lpstr>
      <vt:lpstr>fluxo caixa jan 2026 (2)</vt:lpstr>
      <vt:lpstr>Controle!Area_de_impressao</vt:lpstr>
      <vt:lpstr>'fluxo caixa abr 2026 '!Area_de_impressao</vt:lpstr>
      <vt:lpstr>'fluxo caixa dez 2025'!Area_de_impressao</vt:lpstr>
      <vt:lpstr>'fluxo caixa fev 2026'!Area_de_impressao</vt:lpstr>
      <vt:lpstr>'fluxo caixa jan 2026'!Area_de_impressao</vt:lpstr>
      <vt:lpstr>'fluxo caixa jan 2026 (2)'!Area_de_impressao</vt:lpstr>
      <vt:lpstr>'fluxo caixa maio 2026 '!Area_de_impressao</vt:lpstr>
      <vt:lpstr>'fluxo caixa mar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Walace</dc:creator>
  <cp:lastModifiedBy>João Victor Barbosa</cp:lastModifiedBy>
  <dcterms:created xsi:type="dcterms:W3CDTF">2024-12-05T21:50:31Z</dcterms:created>
  <dcterms:modified xsi:type="dcterms:W3CDTF">2026-06-12T16:20:13Z</dcterms:modified>
</cp:coreProperties>
</file>